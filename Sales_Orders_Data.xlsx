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et\Desktop\"/>
    </mc:Choice>
  </mc:AlternateContent>
  <xr:revisionPtr revIDLastSave="0" documentId="8_{986DD9CC-DC85-49D5-930D-D5DC24802D8E}" xr6:coauthVersionLast="47" xr6:coauthVersionMax="47" xr10:uidLastSave="{00000000-0000-0000-0000-000000000000}"/>
  <bookViews>
    <workbookView xWindow="-108" yWindow="-108" windowWidth="23256" windowHeight="12456" tabRatio="657" activeTab="1" xr2:uid="{00000000-000D-0000-FFFF-FFFF00000000}"/>
  </bookViews>
  <sheets>
    <sheet name="Orders_Data" sheetId="1" r:id="rId1"/>
    <sheet name="Performance" sheetId="4" r:id="rId2"/>
    <sheet name="Invento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4" l="1" a="1"/>
  <c r="A26" i="4" s="1"/>
  <c r="C14" i="4" a="1"/>
  <c r="C14" i="4" s="1"/>
  <c r="C20" i="4" a="1"/>
  <c r="C20" i="4" s="1"/>
  <c r="C21" i="4" a="1"/>
  <c r="C21" i="4" s="1"/>
  <c r="C22" i="4" a="1"/>
  <c r="C22" i="4" s="1"/>
  <c r="C23" i="4" a="1"/>
  <c r="C23" i="4" s="1"/>
  <c r="C19" i="4" a="1"/>
  <c r="C19" i="4" s="1"/>
  <c r="B20" i="4" a="1"/>
  <c r="B20" i="4" s="1"/>
  <c r="B21" i="4" a="1"/>
  <c r="B21" i="4" s="1"/>
  <c r="B22" i="4" a="1"/>
  <c r="B22" i="4" s="1"/>
  <c r="B23" i="4" a="1"/>
  <c r="B23" i="4" s="1"/>
  <c r="B19" i="4" a="1"/>
  <c r="B19" i="4" s="1"/>
  <c r="A11" i="4"/>
  <c r="A5" i="4"/>
  <c r="A10" i="4"/>
  <c r="D8" i="4" a="1"/>
  <c r="D8" i="4" s="1"/>
  <c r="D7" i="4" a="1"/>
  <c r="D7" i="4" s="1"/>
  <c r="C8" i="4" a="1"/>
  <c r="C8" i="4" s="1"/>
  <c r="P13" i="4" s="1"/>
  <c r="A8" i="4"/>
  <c r="A7" i="4"/>
  <c r="B14" i="4"/>
  <c r="A14" i="4"/>
  <c r="C7" i="4" a="1"/>
  <c r="C7" i="4" s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7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2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M77" i="1"/>
  <c r="L77" i="1" s="1"/>
  <c r="A9" i="2"/>
  <c r="A10" i="2"/>
  <c r="A11" i="2"/>
  <c r="A3" i="2"/>
  <c r="A4" i="2"/>
  <c r="A5" i="2"/>
  <c r="A6" i="2"/>
  <c r="A7" i="2"/>
  <c r="A8" i="2"/>
  <c r="A2" i="2"/>
  <c r="A3" i="1"/>
  <c r="Q3" i="1" s="1"/>
  <c r="A4" i="1"/>
  <c r="Q4" i="1" s="1"/>
  <c r="A5" i="1"/>
  <c r="Q5" i="1" s="1"/>
  <c r="A6" i="1"/>
  <c r="Q6" i="1" s="1"/>
  <c r="A7" i="1"/>
  <c r="Q7" i="1" s="1"/>
  <c r="A8" i="1"/>
  <c r="Q8" i="1" s="1"/>
  <c r="A9" i="1"/>
  <c r="Q9" i="1" s="1"/>
  <c r="A10" i="1"/>
  <c r="Q10" i="1" s="1"/>
  <c r="A11" i="1"/>
  <c r="Q11" i="1" s="1"/>
  <c r="A12" i="1"/>
  <c r="Q12" i="1" s="1"/>
  <c r="A13" i="1"/>
  <c r="Q13" i="1" s="1"/>
  <c r="A14" i="1"/>
  <c r="Q14" i="1" s="1"/>
  <c r="A15" i="1"/>
  <c r="Q15" i="1" s="1"/>
  <c r="A16" i="1"/>
  <c r="Q16" i="1" s="1"/>
  <c r="A17" i="1"/>
  <c r="Q17" i="1" s="1"/>
  <c r="A18" i="1"/>
  <c r="Q18" i="1" s="1"/>
  <c r="A19" i="1"/>
  <c r="Q19" i="1" s="1"/>
  <c r="A20" i="1"/>
  <c r="Q20" i="1" s="1"/>
  <c r="A21" i="1"/>
  <c r="Q21" i="1" s="1"/>
  <c r="A22" i="1"/>
  <c r="Q22" i="1" s="1"/>
  <c r="A23" i="1"/>
  <c r="Q23" i="1" s="1"/>
  <c r="A24" i="1"/>
  <c r="Q24" i="1" s="1"/>
  <c r="A25" i="1"/>
  <c r="Q25" i="1" s="1"/>
  <c r="A26" i="1"/>
  <c r="Q26" i="1" s="1"/>
  <c r="A27" i="1"/>
  <c r="Q27" i="1" s="1"/>
  <c r="A28" i="1"/>
  <c r="Q28" i="1" s="1"/>
  <c r="A29" i="1"/>
  <c r="Q29" i="1" s="1"/>
  <c r="A30" i="1"/>
  <c r="Q30" i="1" s="1"/>
  <c r="A31" i="1"/>
  <c r="Q31" i="1" s="1"/>
  <c r="A32" i="1"/>
  <c r="Q32" i="1" s="1"/>
  <c r="A33" i="1"/>
  <c r="Q33" i="1" s="1"/>
  <c r="A34" i="1"/>
  <c r="Q34" i="1" s="1"/>
  <c r="A35" i="1"/>
  <c r="Q35" i="1" s="1"/>
  <c r="A36" i="1"/>
  <c r="Q36" i="1" s="1"/>
  <c r="A37" i="1"/>
  <c r="Q37" i="1" s="1"/>
  <c r="A38" i="1"/>
  <c r="Q38" i="1" s="1"/>
  <c r="A39" i="1"/>
  <c r="Q39" i="1" s="1"/>
  <c r="A40" i="1"/>
  <c r="Q40" i="1" s="1"/>
  <c r="A41" i="1"/>
  <c r="Q41" i="1" s="1"/>
  <c r="A42" i="1"/>
  <c r="Q42" i="1" s="1"/>
  <c r="A43" i="1"/>
  <c r="Q43" i="1" s="1"/>
  <c r="A44" i="1"/>
  <c r="Q44" i="1" s="1"/>
  <c r="A45" i="1"/>
  <c r="Q45" i="1" s="1"/>
  <c r="A46" i="1"/>
  <c r="Q46" i="1" s="1"/>
  <c r="A47" i="1"/>
  <c r="Q47" i="1" s="1"/>
  <c r="A48" i="1"/>
  <c r="Q48" i="1" s="1"/>
  <c r="A49" i="1"/>
  <c r="Q49" i="1" s="1"/>
  <c r="A50" i="1"/>
  <c r="Q50" i="1" s="1"/>
  <c r="A51" i="1"/>
  <c r="Q51" i="1" s="1"/>
  <c r="A52" i="1"/>
  <c r="Q52" i="1" s="1"/>
  <c r="A53" i="1"/>
  <c r="Q53" i="1" s="1"/>
  <c r="A54" i="1"/>
  <c r="Q54" i="1" s="1"/>
  <c r="A55" i="1"/>
  <c r="Q55" i="1" s="1"/>
  <c r="A56" i="1"/>
  <c r="Q56" i="1" s="1"/>
  <c r="A57" i="1"/>
  <c r="Q57" i="1" s="1"/>
  <c r="A58" i="1"/>
  <c r="Q58" i="1" s="1"/>
  <c r="A59" i="1"/>
  <c r="Q59" i="1" s="1"/>
  <c r="A60" i="1"/>
  <c r="Q60" i="1" s="1"/>
  <c r="A61" i="1"/>
  <c r="Q61" i="1" s="1"/>
  <c r="A62" i="1"/>
  <c r="Q62" i="1" s="1"/>
  <c r="A63" i="1"/>
  <c r="Q63" i="1" s="1"/>
  <c r="A64" i="1"/>
  <c r="Q64" i="1" s="1"/>
  <c r="A65" i="1"/>
  <c r="Q65" i="1" s="1"/>
  <c r="A66" i="1"/>
  <c r="Q66" i="1" s="1"/>
  <c r="A67" i="1"/>
  <c r="Q67" i="1" s="1"/>
  <c r="A68" i="1"/>
  <c r="Q68" i="1" s="1"/>
  <c r="A69" i="1"/>
  <c r="Q69" i="1" s="1"/>
  <c r="A70" i="1"/>
  <c r="Q70" i="1" s="1"/>
  <c r="A71" i="1"/>
  <c r="Q71" i="1" s="1"/>
  <c r="A72" i="1"/>
  <c r="Q72" i="1" s="1"/>
  <c r="A73" i="1"/>
  <c r="Q73" i="1" s="1"/>
  <c r="A74" i="1"/>
  <c r="Q74" i="1" s="1"/>
  <c r="A75" i="1"/>
  <c r="Q75" i="1" s="1"/>
  <c r="A76" i="1"/>
  <c r="Q76" i="1" s="1"/>
  <c r="A77" i="1"/>
  <c r="Q77" i="1" s="1"/>
  <c r="A78" i="1"/>
  <c r="Q78" i="1" s="1"/>
  <c r="A79" i="1"/>
  <c r="Q79" i="1" s="1"/>
  <c r="A80" i="1"/>
  <c r="Q80" i="1" s="1"/>
  <c r="A81" i="1"/>
  <c r="Q81" i="1" s="1"/>
  <c r="A82" i="1"/>
  <c r="Q82" i="1" s="1"/>
  <c r="A83" i="1"/>
  <c r="Q83" i="1" s="1"/>
  <c r="A84" i="1"/>
  <c r="Q84" i="1" s="1"/>
  <c r="A85" i="1"/>
  <c r="Q85" i="1" s="1"/>
  <c r="A86" i="1"/>
  <c r="Q86" i="1" s="1"/>
  <c r="A87" i="1"/>
  <c r="Q87" i="1" s="1"/>
  <c r="A88" i="1"/>
  <c r="Q88" i="1" s="1"/>
  <c r="A89" i="1"/>
  <c r="Q89" i="1" s="1"/>
  <c r="A90" i="1"/>
  <c r="Q90" i="1" s="1"/>
  <c r="A91" i="1"/>
  <c r="Q91" i="1" s="1"/>
  <c r="A92" i="1"/>
  <c r="Q92" i="1" s="1"/>
  <c r="A93" i="1"/>
  <c r="Q93" i="1" s="1"/>
  <c r="A94" i="1"/>
  <c r="Q94" i="1" s="1"/>
  <c r="A95" i="1"/>
  <c r="Q95" i="1" s="1"/>
  <c r="A96" i="1"/>
  <c r="Q96" i="1" s="1"/>
  <c r="A97" i="1"/>
  <c r="Q97" i="1" s="1"/>
  <c r="A98" i="1"/>
  <c r="Q98" i="1" s="1"/>
  <c r="A99" i="1"/>
  <c r="Q99" i="1" s="1"/>
  <c r="A100" i="1"/>
  <c r="Q100" i="1" s="1"/>
  <c r="A101" i="1"/>
  <c r="Q101" i="1" s="1"/>
  <c r="A2" i="1"/>
  <c r="Q2" i="1" s="1"/>
  <c r="A29" i="4" l="1"/>
  <c r="A27" i="4"/>
  <c r="A28" i="4"/>
  <c r="I8" i="2"/>
  <c r="I7" i="2"/>
  <c r="I6" i="2"/>
  <c r="I5" i="2"/>
  <c r="I4" i="2"/>
  <c r="I3" i="2"/>
  <c r="M2" i="2" s="1" a="1"/>
  <c r="M2" i="2" s="1"/>
  <c r="I2" i="2"/>
  <c r="O11" i="2" l="1"/>
  <c r="O9" i="2" a="1"/>
  <c r="O9" i="2" s="1"/>
  <c r="V7" i="2"/>
  <c r="V2" i="2"/>
  <c r="N15" i="2" l="1"/>
  <c r="N16" i="2"/>
  <c r="N19" i="2"/>
  <c r="N17" i="2"/>
  <c r="N1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<sst xmlns="http://schemas.openxmlformats.org/spreadsheetml/2006/main" count="914" uniqueCount="192">
  <si>
    <t>Order_ID</t>
  </si>
  <si>
    <t>Product_ID</t>
  </si>
  <si>
    <t>Product_Name</t>
  </si>
  <si>
    <t>Category</t>
  </si>
  <si>
    <t>Region</t>
  </si>
  <si>
    <t>Salesperson</t>
  </si>
  <si>
    <t>Month</t>
  </si>
  <si>
    <t>Year</t>
  </si>
  <si>
    <t>Unit_Price</t>
  </si>
  <si>
    <t>Quantity</t>
  </si>
  <si>
    <t>Discount_%</t>
  </si>
  <si>
    <t>Total_Revenue</t>
  </si>
  <si>
    <t>Status</t>
  </si>
  <si>
    <t>ORD-0001</t>
  </si>
  <si>
    <t>P007</t>
  </si>
  <si>
    <t>Office Chair</t>
  </si>
  <si>
    <t>Furniture</t>
  </si>
  <si>
    <t>West</t>
  </si>
  <si>
    <t>Gosia Piotrowska</t>
  </si>
  <si>
    <t>Oct</t>
  </si>
  <si>
    <t>Shipped</t>
  </si>
  <si>
    <t>ORD-0002</t>
  </si>
  <si>
    <t>P002</t>
  </si>
  <si>
    <t>Wireless Mouse</t>
  </si>
  <si>
    <t>Accessories</t>
  </si>
  <si>
    <t>East</t>
  </si>
  <si>
    <t>Filip Wrona</t>
  </si>
  <si>
    <t>Sep</t>
  </si>
  <si>
    <t>ORD-0003</t>
  </si>
  <si>
    <t>Central</t>
  </si>
  <si>
    <t>Inga Szymańska</t>
  </si>
  <si>
    <t>Jun</t>
  </si>
  <si>
    <t>Cancelled</t>
  </si>
  <si>
    <t>ORD-0004</t>
  </si>
  <si>
    <t>P003</t>
  </si>
  <si>
    <t>USB-C Hub</t>
  </si>
  <si>
    <t>Jakub Lewandowski</t>
  </si>
  <si>
    <t>Feb</t>
  </si>
  <si>
    <t>ORD-0005</t>
  </si>
  <si>
    <t>P001</t>
  </si>
  <si>
    <t>Laptop Pro 15</t>
  </si>
  <si>
    <t>Electronics</t>
  </si>
  <si>
    <t>Ewa Zając</t>
  </si>
  <si>
    <t>Jul</t>
  </si>
  <si>
    <t>Delivered</t>
  </si>
  <si>
    <t>ORD-0006</t>
  </si>
  <si>
    <t>P008</t>
  </si>
  <si>
    <t>Standing Desk</t>
  </si>
  <si>
    <t>ORD-0007</t>
  </si>
  <si>
    <t>P004</t>
  </si>
  <si>
    <t>4K Monitor</t>
  </si>
  <si>
    <t>South</t>
  </si>
  <si>
    <t>Dawid Maj</t>
  </si>
  <si>
    <t>ORD-0008</t>
  </si>
  <si>
    <t>North</t>
  </si>
  <si>
    <t>Alice Nowak</t>
  </si>
  <si>
    <t>Mar</t>
  </si>
  <si>
    <t>ORD-0009</t>
  </si>
  <si>
    <t>ORD-0010</t>
  </si>
  <si>
    <t>P009</t>
  </si>
  <si>
    <t>Noise Headphones</t>
  </si>
  <si>
    <t>Jan</t>
  </si>
  <si>
    <t>Returned</t>
  </si>
  <si>
    <t>ORD-0011</t>
  </si>
  <si>
    <t>Dec</t>
  </si>
  <si>
    <t>ORD-0012</t>
  </si>
  <si>
    <t>Pending</t>
  </si>
  <si>
    <t>ORD-0013</t>
  </si>
  <si>
    <t>ORD-0014</t>
  </si>
  <si>
    <t>ORD-0015</t>
  </si>
  <si>
    <t>ORD-0016</t>
  </si>
  <si>
    <t>Hubert Krawczyk</t>
  </si>
  <si>
    <t>ORD-0017</t>
  </si>
  <si>
    <t>May</t>
  </si>
  <si>
    <t>ORD-0018</t>
  </si>
  <si>
    <t>ORD-0019</t>
  </si>
  <si>
    <t>P005</t>
  </si>
  <si>
    <t>Mechanical Keyboard</t>
  </si>
  <si>
    <t>Bartek Kowal</t>
  </si>
  <si>
    <t>Nov</t>
  </si>
  <si>
    <t>ORD-0020</t>
  </si>
  <si>
    <t>ORD-0021</t>
  </si>
  <si>
    <t>P010</t>
  </si>
  <si>
    <t>Desk Lamp LED</t>
  </si>
  <si>
    <t>ORD-0022</t>
  </si>
  <si>
    <t>P006</t>
  </si>
  <si>
    <t>Webcam HD</t>
  </si>
  <si>
    <t>ORD-0023</t>
  </si>
  <si>
    <t>ORD-0024</t>
  </si>
  <si>
    <t>Celina Dąbrowska</t>
  </si>
  <si>
    <t>ORD-0025</t>
  </si>
  <si>
    <t>Aug</t>
  </si>
  <si>
    <t>ORD-0026</t>
  </si>
  <si>
    <t>ORD-0027</t>
  </si>
  <si>
    <t>Apr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</si>
  <si>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</si>
  <si>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</si>
  <si>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</si>
  <si>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</si>
  <si>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</si>
  <si>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</si>
  <si>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</si>
  <si>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</si>
  <si>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</si>
  <si>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</si>
  <si>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</si>
  <si>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</si>
  <si>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</si>
  <si>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</si>
  <si>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</si>
  <si>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</si>
  <si>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</si>
  <si>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</si>
  <si>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</si>
  <si>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</si>
  <si>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</si>
  <si>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</si>
  <si>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</si>
  <si>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</si>
  <si>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</si>
  <si>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</si>
  <si>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</si>
  <si>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</si>
  <si>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</si>
  <si>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</si>
  <si>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</si>
  <si>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</si>
  <si>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</si>
  <si>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</si>
  <si>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</si>
  <si>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</si>
  <si>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</si>
  <si>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</si>
  <si>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</si>
  <si>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</si>
  <si>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</si>
  <si>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</si>
  <si>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</si>
  <si>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</si>
  <si>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</si>
  <si>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</si>
  <si>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</si>
  <si>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</si>
  <si>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</si>
  <si>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</si>
  <si>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</si>
  <si>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</si>
  <si>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</si>
  <si>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</si>
  <si>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</si>
  <si>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</si>
  <si>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</si>
  <si>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</si>
  <si>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</si>
  <si>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</si>
  <si>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</si>
  <si>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</si>
  <si>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</si>
  <si>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</si>
  <si>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</si>
  <si>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</si>
  <si>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</si>
  <si>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</si>
  <si>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</si>
  <si>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</si>
  <si>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</si>
  <si>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</si>
  <si>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</si>
  <si>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Supplier</t>
  </si>
  <si>
    <t>Lead_Time_Days</t>
  </si>
  <si>
    <t>In_Stock</t>
  </si>
  <si>
    <t>TechWorld Sp. z o.o.</t>
  </si>
  <si>
    <t>Yes</t>
  </si>
  <si>
    <t>GadgetHub Polska</t>
  </si>
  <si>
    <t>ErgoOffice SA</t>
  </si>
  <si>
    <t>No</t>
  </si>
  <si>
    <t>Key</t>
  </si>
  <si>
    <t>Product Name:</t>
  </si>
  <si>
    <t>Stock:</t>
  </si>
  <si>
    <t>Stock</t>
  </si>
  <si>
    <t>Green</t>
  </si>
  <si>
    <t>yellow</t>
  </si>
  <si>
    <t>orange</t>
  </si>
  <si>
    <t>red</t>
  </si>
  <si>
    <t>empty</t>
  </si>
  <si>
    <t>Status:</t>
  </si>
  <si>
    <t>Discount</t>
  </si>
  <si>
    <t>Status Control</t>
  </si>
  <si>
    <t>2025 Avg Status</t>
  </si>
  <si>
    <t>2024 Avg Status</t>
  </si>
  <si>
    <t>Category:</t>
  </si>
  <si>
    <t>Avg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</si>
</sst>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&quot;$&quot;#,##0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1"/>
      <color rgb="FFFFFFFF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4620"/>
      </patternFill>
    </fill>
    <fill>
      <patternFill patternType="solid">
        <fgColor rgb="FFF1F8E9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C8E6C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0" fillId="8" borderId="0" xfId="0" applyFill="1"/>
    <xf numFmtId="0" fontId="3" fillId="0" borderId="0" xfId="0" applyFont="1"/>
    <xf numFmtId="0" fontId="0" fillId="0" borderId="0" xfId="0" applyAlignment="1">
      <alignment wrapText="1"/>
    </xf>
    <xf numFmtId="9" fontId="0" fillId="0" borderId="0" xfId="0" applyNumberFormat="1"/>
    <xf numFmtId="1" fontId="0" fillId="0" borderId="0" xfId="0" applyNumberFormat="1"/>
    <xf numFmtId="9" fontId="4" fillId="0" borderId="0" xfId="0" applyNumberFormat="1" applyFont="1"/>
    <xf numFmtId="9" fontId="4" fillId="8" borderId="3" xfId="0" applyNumberFormat="1" applyFont="1" applyFill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center" vertical="center"/>
    </xf>
    <xf numFmtId="9" fontId="4" fillId="8" borderId="0" xfId="0" applyNumberFormat="1" applyFont="1" applyFill="1"/>
    <xf numFmtId="0" fontId="9" fillId="5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1" fillId="0" borderId="0" xfId="0" applyFont="1"/>
    <xf numFmtId="9" fontId="2" fillId="3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9" fontId="3" fillId="0" borderId="0" xfId="0" applyNumberFormat="1" applyFont="1"/>
    <xf numFmtId="10" fontId="3" fillId="0" borderId="0" xfId="0" applyNumberFormat="1" applyFont="1"/>
    <xf numFmtId="10" fontId="0" fillId="8" borderId="0" xfId="0" applyNumberFormat="1" applyFill="1"/>
    <xf numFmtId="10" fontId="12" fillId="0" borderId="0" xfId="0" applyNumberFormat="1" applyFont="1"/>
    <xf numFmtId="10" fontId="13" fillId="0" borderId="0" xfId="0" applyNumberFormat="1" applyFont="1"/>
    <xf numFmtId="165" fontId="4" fillId="8" borderId="0" xfId="0" applyNumberFormat="1" applyFont="1" applyFill="1"/>
    <xf numFmtId="0" fontId="4" fillId="8" borderId="0" xfId="0" applyFont="1" applyFill="1"/>
    <xf numFmtId="1" fontId="4" fillId="8" borderId="0" xfId="0" applyNumberFormat="1" applyFont="1" applyFill="1"/>
    <xf numFmtId="3" fontId="4" fillId="8" borderId="0" xfId="0" applyNumberFormat="1" applyFont="1" applyFill="1"/>
    <xf numFmtId="10" fontId="4" fillId="8" borderId="0" xfId="0" applyNumberFormat="1" applyFont="1" applyFill="1"/>
    <xf numFmtId="165" fontId="3" fillId="0" borderId="0" xfId="0" applyNumberFormat="1" applyFont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2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Performance!$C$6</c:f>
              <c:strCache>
                <c:ptCount val="1"/>
                <c:pt idx="0">
                  <c:v>Avg Revenue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40-4A96-9DE3-DA3699B513D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840-4A96-9DE3-DA3699B513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Performance!$B$7:$B$8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Performance!$C$7:$C$8</c:f>
              <c:numCache>
                <c:formatCode>"$"#,##0</c:formatCode>
                <c:ptCount val="2"/>
                <c:pt idx="0">
                  <c:v>604.05136363636348</c:v>
                </c:pt>
                <c:pt idx="1">
                  <c:v>699.57727272727266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40-4A96-9DE3-DA3699B51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35901999"/>
        <c:axId val="235894799"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897199"/>
        <c:axId val="23590007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Performance!$D$6</c15:sqref>
                        </c15:formulaRef>
                      </c:ext>
                    </c:extLst>
                    <c:strCache>
                      <c:ptCount val="1"/>
                      <c:pt idx="0">
                        <c:v>Discount_%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Performance!$B$7:$B$8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2024</c:v>
                      </c:pt>
                      <c:pt idx="1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Performance!$D$7:$D$8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 formatCode="0%">
                        <c:v>3.8636363636363642E-2</c:v>
                      </c:pt>
                      <c:pt idx="1">
                        <c:v>9.5454545454545459E-2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4-C45B-40A1-BF49-E86FBDC51ED3}"/>
                  </c:ext>
                </c:extLst>
              </c15:ser>
            </c15:filteredLineSeries>
          </c:ext>
        </c:extLst>
      </c:lineChart>
      <c:valAx>
        <c:axId val="235894799"/>
        <c:scaling>
          <c:orientation val="minMax"/>
        </c:scaling>
        <c:delete val="1"/>
        <c:axPos val="l"/>
        <c:numFmt formatCode="&quot;$&quot;#,##0" sourceLinked="1"/>
        <c:majorTickMark val="out"/>
        <c:minorTickMark val="none"/>
        <c:tickLblPos val="nextTo"/>
        <c:crossAx val="235901999"/>
        <c:crosses val="autoZero"/>
        <c:crossBetween val="between"/>
      </c:valAx>
      <c:catAx>
        <c:axId val="235901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94799"/>
        <c:crosses val="autoZero"/>
        <c:auto val="1"/>
        <c:lblAlgn val="ctr"/>
        <c:lblOffset val="100"/>
        <c:noMultiLvlLbl val="0"/>
      </c:catAx>
      <c:valAx>
        <c:axId val="235900079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235897199"/>
        <c:crosses val="max"/>
        <c:crossBetween val="between"/>
      </c:valAx>
      <c:catAx>
        <c:axId val="235897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5900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11111111111109E-2"/>
          <c:y val="4.6619884949614457E-2"/>
          <c:w val="0.93888888888888888"/>
          <c:h val="0.85993918592343788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6270816"/>
        <c:axId val="1366278976"/>
      </c:barChart>
      <c:catAx>
        <c:axId val="13662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278976"/>
        <c:crosses val="autoZero"/>
        <c:auto val="1"/>
        <c:lblAlgn val="ctr"/>
        <c:lblOffset val="100"/>
        <c:noMultiLvlLbl val="0"/>
      </c:catAx>
      <c:valAx>
        <c:axId val="136627897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662708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Performance!$B$18</c:f>
              <c:strCache>
                <c:ptCount val="1"/>
                <c:pt idx="0">
                  <c:v>2024 Avg Status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Performance!$A$19:$A$23</c:f>
              <c:strCache>
                <c:ptCount val="5"/>
                <c:pt idx="0">
                  <c:v>Returned</c:v>
                </c:pt>
                <c:pt idx="1">
                  <c:v>Pending</c:v>
                </c:pt>
                <c:pt idx="2">
                  <c:v>Cancelled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Performance!$B$19:$B$23</c:f>
              <c:numCache>
                <c:formatCode>0</c:formatCode>
                <c:ptCount val="5"/>
                <c:pt idx="0">
                  <c:v>380.45142857142861</c:v>
                </c:pt>
                <c:pt idx="1">
                  <c:v>363.28085714285709</c:v>
                </c:pt>
                <c:pt idx="2">
                  <c:v>418.74171428571418</c:v>
                </c:pt>
                <c:pt idx="3">
                  <c:v>388.16714285714289</c:v>
                </c:pt>
                <c:pt idx="4">
                  <c:v>379.39485714285706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7-46D5-BC50-92A87E7C1DCB}"/>
            </c:ext>
          </c:extLst>
        </c:ser>
        <c:ser>
          <c:idx val="1"/>
          <c:order val="1"/>
          <c:tx>
            <c:strRef>
              <c:f>Performance!$C$18</c:f>
              <c:strCache>
                <c:ptCount val="1"/>
                <c:pt idx="0">
                  <c:v>2025 Avg Status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Performance!$A$19:$A$23</c:f>
              <c:strCache>
                <c:ptCount val="5"/>
                <c:pt idx="0">
                  <c:v>Returned</c:v>
                </c:pt>
                <c:pt idx="1">
                  <c:v>Pending</c:v>
                </c:pt>
                <c:pt idx="2">
                  <c:v>Cancelled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Performance!$C$19:$C$23</c:f>
              <c:numCache>
                <c:formatCode>0</c:formatCode>
                <c:ptCount val="5"/>
                <c:pt idx="0">
                  <c:v>366.48999999999995</c:v>
                </c:pt>
                <c:pt idx="1">
                  <c:v>426.7842857142856</c:v>
                </c:pt>
                <c:pt idx="2">
                  <c:v>352.58428571428561</c:v>
                </c:pt>
                <c:pt idx="3">
                  <c:v>448.48500000000001</c:v>
                </c:pt>
                <c:pt idx="4">
                  <c:v>409.64190476190475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B-4ACF-AC59-FAF0BFC9B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2966367"/>
        <c:axId val="2072966847"/>
      </c:barChart>
      <c:catAx>
        <c:axId val="20729663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66847"/>
        <c:crosses val="autoZero"/>
        <c:auto val="1"/>
        <c:lblAlgn val="ctr"/>
        <c:lblOffset val="100"/>
        <c:noMultiLvlLbl val="0"/>
      </c:catAx>
      <c:valAx>
        <c:axId val="2072966847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207296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728719062940786E-2"/>
          <c:y val="0"/>
          <c:w val="0.89903550112918817"/>
          <c:h val="0.77360947350094811"/>
        </c:manualLayout>
      </c:layout>
      <c:barChart>
        <c:barDir val="bar"/>
        <c:grouping val="stacked"/>
        <c:varyColors val="0"/>
        <c:ser>
          <c:idx val="2"/>
          <c:order val="0"/>
          <c:tx>
            <c:strRef>
              <c:f>Inventory!$M$16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Inventory!$N$16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F6-48B8-A0DC-86F621529E99}"/>
            </c:ext>
          </c:extLst>
        </c:ser>
        <c:ser>
          <c:idx val="3"/>
          <c:order val="1"/>
          <c:tx>
            <c:strRef>
              <c:f>Inventory!$M$17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Inventory!$N$17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F6-48B8-A0DC-86F621529E99}"/>
            </c:ext>
          </c:extLst>
        </c:ser>
        <c:ser>
          <c:idx val="4"/>
          <c:order val="2"/>
          <c:tx>
            <c:strRef>
              <c:f>Inventory!$M$18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Inventory!$N$18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F6-48B8-A0DC-86F621529E99}"/>
            </c:ext>
          </c:extLst>
        </c:ser>
        <c:ser>
          <c:idx val="0"/>
          <c:order val="3"/>
          <c:tx>
            <c:strRef>
              <c:f>Inventory!$M$15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92D050"/>
            </a:solidFill>
            <a:ln cap="rnd" cmpd="sng">
              <a:solidFill>
                <a:schemeClr val="accent1">
                  <a:shade val="15000"/>
                </a:schemeClr>
              </a:solidFill>
              <a:prstDash val="sysDot"/>
              <a:miter lim="800000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 cap="rnd" cmpd="sng">
                <a:solidFill>
                  <a:schemeClr val="accent1">
                    <a:shade val="15000"/>
                    <a:alpha val="94000"/>
                  </a:schemeClr>
                </a:solidFill>
                <a:prstDash val="sysDot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FDF6-48B8-A0DC-86F621529E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Inventory!$N$15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F6-48B8-A0DC-86F621529E99}"/>
            </c:ext>
          </c:extLst>
        </c:ser>
        <c:ser>
          <c:idx val="1"/>
          <c:order val="4"/>
          <c:tx>
            <c:strRef>
              <c:f>Inventory!$M$19</c:f>
              <c:strCache>
                <c:ptCount val="1"/>
                <c:pt idx="0">
                  <c:v>empty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val>
            <c:numRef>
              <c:f>Inventory!$N$19</c:f>
              <c:numCache>
                <c:formatCode>0%</c:formatCode>
                <c:ptCount val="1"/>
                <c:pt idx="0">
                  <c:v>-0.8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F6-48B8-A0DC-86F621529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7018383"/>
        <c:axId val="1347014543"/>
      </c:barChart>
      <c:catAx>
        <c:axId val="13470183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7014543"/>
        <c:crosses val="autoZero"/>
        <c:auto val="1"/>
        <c:lblAlgn val="ctr"/>
        <c:lblOffset val="100"/>
        <c:noMultiLvlLbl val="0"/>
      </c:catAx>
      <c:valAx>
        <c:axId val="1347014543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347018383"/>
        <c:crosses val="autoZero"/>
        <c:crossBetween val="between"/>
      </c:valAx>
      <c:spPr>
        <a:noFill/>
        <a:ln w="101600">
          <a:solidFill>
            <a:schemeClr val="bg1">
              <a:alpha val="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465215</xdr:colOff>
      <xdr:row>25</xdr:row>
      <xdr:rowOff>145967</xdr:rowOff>
    </xdr:from>
    <xdr:to>
      <xdr:col>17</xdr:col>
      <xdr:colOff>173414</xdr:colOff>
      <xdr:row>50</xdr:row>
      <xdr:rowOff>102103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28379D-D628-8BF5-5518-E474657CC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414559</xdr:colOff>
      <xdr:row>19</xdr:row>
      <xdr:rowOff>18726</xdr:rowOff>
    </xdr:from>
    <xdr:to>
      <xdr:col>13</xdr:col>
      <xdr:colOff>82865</xdr:colOff>
      <xdr:row>23</xdr:row>
      <xdr:rowOff>23672</xdr:rowOff>
    </xdr:to>
    <xdr:sp macro="" textlink="$B$3">
      <xdr:nvSpPr>
        <xdr:cNvPr id="7" name="TextBox 6">
          <a:extLst>
            <a:ext uri="{FF2B5EF4-FFF2-40B4-BE49-F238E27FC236}">
              <a16:creationId xmlns:a16="http://schemas.microsoft.com/office/drawing/2014/main" id="{53212710-A86B-1478-3198-1C0452320FD7}"/>
            </a:ext>
          </a:extLst>
        </xdr:cNvPr>
        <xdr:cNvSpPr txBox="1"/>
      </xdr:nvSpPr>
      <xdr:spPr>
        <a:xfrm>
          <a:off x="6953904" y="3426944"/>
          <a:ext cx="1829616" cy="725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C01ABDA-BE5C-4EA4-AEFE-6C29738C9894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Accessories</a:t>
          </a:fld>
          <a:r>
            <a:rPr lang="tr-TR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</a:p>
        <a:p>
          <a:pPr algn="ctr"/>
          <a:r>
            <a:rPr lang="tr-T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Average Revenue</a:t>
          </a:r>
        </a:p>
      </xdr:txBody>
    </xdr:sp>
    <xdr:clientData/>
  </xdr:twoCellAnchor>
  <xdr:twoCellAnchor>
    <xdr:from>
      <xdr:col>18</xdr:col>
      <xdr:colOff>556805</xdr:colOff>
      <xdr:row>8</xdr:row>
      <xdr:rowOff>167640</xdr:rowOff>
    </xdr:from>
    <xdr:to>
      <xdr:col>26</xdr:col>
      <xdr:colOff>252005</xdr:colOff>
      <xdr:row>25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8EC242-3DAE-213E-D7D6-1D2E2C0F5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773112</xdr:colOff>
      <xdr:row>13</xdr:row>
      <xdr:rowOff>92165</xdr:rowOff>
    </xdr:from>
    <xdr:to>
      <xdr:col>18</xdr:col>
      <xdr:colOff>77720</xdr:colOff>
      <xdr:row>17</xdr:row>
      <xdr:rowOff>135708</xdr:rowOff>
    </xdr:to>
    <xdr:sp macro="" textlink="$A$10">
      <xdr:nvSpPr>
        <xdr:cNvPr id="9" name="TextBox 8">
          <a:extLst>
            <a:ext uri="{FF2B5EF4-FFF2-40B4-BE49-F238E27FC236}">
              <a16:creationId xmlns:a16="http://schemas.microsoft.com/office/drawing/2014/main" id="{19F58843-ADAB-4178-8FC3-1A2F2EDA7C61}"/>
            </a:ext>
          </a:extLst>
        </xdr:cNvPr>
        <xdr:cNvSpPr txBox="1"/>
      </xdr:nvSpPr>
      <xdr:spPr>
        <a:xfrm>
          <a:off x="10692967" y="2364310"/>
          <a:ext cx="1535189" cy="763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CF39CF6-1877-4789-A9E2-B2AFAF06A5EC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Accessories 2025 Average Discount </a:t>
          </a:fld>
          <a:endParaRPr lang="tr-TR" sz="1800" b="1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161365</xdr:colOff>
      <xdr:row>28</xdr:row>
      <xdr:rowOff>152400</xdr:rowOff>
    </xdr:from>
    <xdr:to>
      <xdr:col>26</xdr:col>
      <xdr:colOff>202986</xdr:colOff>
      <xdr:row>50</xdr:row>
      <xdr:rowOff>99034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D1245-57E0-2F5E-55B6-35D2933A8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563880</xdr:colOff>
      <xdr:row>0</xdr:row>
      <xdr:rowOff>0</xdr:rowOff>
    </xdr:from>
    <xdr:to>
      <xdr:col>26</xdr:col>
      <xdr:colOff>533400</xdr:colOff>
      <xdr:row>51</xdr:row>
      <xdr:rowOff>96981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CB7AB6F-6F8E-9348-7346-D9987AD5C244}"/>
            </a:ext>
          </a:extLst>
        </xdr:cNvPr>
        <xdr:cNvSpPr/>
      </xdr:nvSpPr>
      <xdr:spPr>
        <a:xfrm>
          <a:off x="5870986" y="0"/>
          <a:ext cx="11668461" cy="924098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555171</xdr:colOff>
      <xdr:row>0</xdr:row>
      <xdr:rowOff>0</xdr:rowOff>
    </xdr:from>
    <xdr:to>
      <xdr:col>26</xdr:col>
      <xdr:colOff>527739</xdr:colOff>
      <xdr:row>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A3CF626-EF46-B723-BF40-4E19324FC978}"/>
            </a:ext>
          </a:extLst>
        </xdr:cNvPr>
        <xdr:cNvSpPr/>
      </xdr:nvSpPr>
      <xdr:spPr>
        <a:xfrm>
          <a:off x="5875316" y="0"/>
          <a:ext cx="11679659" cy="74814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</a:rPr>
            <a:t>Revenue Performance Comparison (2024 vs 2025)</a:t>
          </a:r>
        </a:p>
      </xdr:txBody>
    </xdr:sp>
    <xdr:clientData/>
  </xdr:twoCellAnchor>
  <xdr:oneCellAnchor>
    <xdr:from>
      <xdr:col>15</xdr:col>
      <xdr:colOff>727550</xdr:colOff>
      <xdr:row>18</xdr:row>
      <xdr:rowOff>54194</xdr:rowOff>
    </xdr:from>
    <xdr:ext cx="1654021" cy="1125501"/>
    <xdr:sp macro="" textlink="$C$14">
      <xdr:nvSpPr>
        <xdr:cNvPr id="14" name="TextBox 13">
          <a:extLst>
            <a:ext uri="{FF2B5EF4-FFF2-40B4-BE49-F238E27FC236}">
              <a16:creationId xmlns:a16="http://schemas.microsoft.com/office/drawing/2014/main" id="{A53C55F2-B9B7-0ADD-39DD-A19D25F80CEB}"/>
            </a:ext>
          </a:extLst>
        </xdr:cNvPr>
        <xdr:cNvSpPr txBox="1"/>
      </xdr:nvSpPr>
      <xdr:spPr>
        <a:xfrm>
          <a:off x="10647405" y="3226885"/>
          <a:ext cx="1654021" cy="11255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B7E81D7-F23C-4489-809D-E5A354C979D6}" type="TxLink">
            <a:rPr lang="en-US" sz="6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10%</a:t>
          </a:fld>
          <a:endParaRPr lang="en-US" sz="6600" b="1"/>
        </a:p>
      </xdr:txBody>
    </xdr:sp>
    <xdr:clientData/>
  </xdr:oneCellAnchor>
  <xdr:twoCellAnchor>
    <xdr:from>
      <xdr:col>14</xdr:col>
      <xdr:colOff>93585</xdr:colOff>
      <xdr:row>7</xdr:row>
      <xdr:rowOff>17310</xdr:rowOff>
    </xdr:from>
    <xdr:to>
      <xdr:col>16</xdr:col>
      <xdr:colOff>507245</xdr:colOff>
      <xdr:row>10</xdr:row>
      <xdr:rowOff>44205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8152E7E-AFC8-480E-A1E7-5E265FFF1C04}"/>
            </a:ext>
          </a:extLst>
        </xdr:cNvPr>
        <xdr:cNvSpPr/>
      </xdr:nvSpPr>
      <xdr:spPr>
        <a:xfrm>
          <a:off x="9400871" y="1149424"/>
          <a:ext cx="2024745" cy="5820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REVENUE GROWTH (YoY)</a:t>
          </a:r>
        </a:p>
      </xdr:txBody>
    </xdr:sp>
    <xdr:clientData/>
  </xdr:twoCellAnchor>
  <xdr:twoCellAnchor>
    <xdr:from>
      <xdr:col>10</xdr:col>
      <xdr:colOff>11941</xdr:colOff>
      <xdr:row>11</xdr:row>
      <xdr:rowOff>153041</xdr:rowOff>
    </xdr:from>
    <xdr:to>
      <xdr:col>12</xdr:col>
      <xdr:colOff>305856</xdr:colOff>
      <xdr:row>13</xdr:row>
      <xdr:rowOff>65954</xdr:rowOff>
    </xdr:to>
    <xdr:sp macro="" textlink="$A$26">
      <xdr:nvSpPr>
        <xdr:cNvPr id="16" name="TextBox 15">
          <a:extLst>
            <a:ext uri="{FF2B5EF4-FFF2-40B4-BE49-F238E27FC236}">
              <a16:creationId xmlns:a16="http://schemas.microsoft.com/office/drawing/2014/main" id="{BFA434B5-22C7-E7C0-58E4-C7D1F91028DC}"/>
            </a:ext>
          </a:extLst>
        </xdr:cNvPr>
        <xdr:cNvSpPr txBox="1"/>
      </xdr:nvSpPr>
      <xdr:spPr>
        <a:xfrm>
          <a:off x="6554255" y="2025384"/>
          <a:ext cx="1513115" cy="370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8EAD127-35AA-4D66-B720-53F634D7F67D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$7,695</a:t>
          </a:fld>
          <a:endParaRPr lang="en-US" sz="1600" b="1"/>
        </a:p>
      </xdr:txBody>
    </xdr:sp>
    <xdr:clientData/>
  </xdr:twoCellAnchor>
  <xdr:twoCellAnchor>
    <xdr:from>
      <xdr:col>18</xdr:col>
      <xdr:colOff>170194</xdr:colOff>
      <xdr:row>7</xdr:row>
      <xdr:rowOff>1961</xdr:rowOff>
    </xdr:from>
    <xdr:to>
      <xdr:col>20</xdr:col>
      <xdr:colOff>548767</xdr:colOff>
      <xdr:row>10</xdr:row>
      <xdr:rowOff>28856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A5E1B02-D37A-4D6C-981D-7AAE3797BE4B}"/>
            </a:ext>
          </a:extLst>
        </xdr:cNvPr>
        <xdr:cNvSpPr/>
      </xdr:nvSpPr>
      <xdr:spPr>
        <a:xfrm>
          <a:off x="11915880" y="1134075"/>
          <a:ext cx="1597773" cy="5820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BEST</a:t>
          </a:r>
          <a:r>
            <a:rPr lang="en-US" sz="1400" b="0"/>
            <a:t> </a:t>
          </a:r>
          <a:r>
            <a:rPr lang="tr-TR" sz="1400" b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PERFORMING</a:t>
          </a:r>
          <a:r>
            <a:rPr lang="en-US" sz="1400" b="0"/>
            <a:t> </a:t>
          </a:r>
          <a:r>
            <a:rPr lang="tr-TR" sz="1400" b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STATUS</a:t>
          </a:r>
          <a:endParaRPr lang="en-US" sz="1400" b="0">
            <a:solidFill>
              <a:schemeClr val="tx1">
                <a:lumMod val="95000"/>
                <a:lumOff val="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426012</xdr:colOff>
      <xdr:row>11</xdr:row>
      <xdr:rowOff>137674</xdr:rowOff>
    </xdr:from>
    <xdr:to>
      <xdr:col>20</xdr:col>
      <xdr:colOff>393355</xdr:colOff>
      <xdr:row>13</xdr:row>
      <xdr:rowOff>50587</xdr:rowOff>
    </xdr:to>
    <xdr:sp macro="" textlink="$A$27">
      <xdr:nvSpPr>
        <xdr:cNvPr id="18" name="TextBox 17">
          <a:extLst>
            <a:ext uri="{FF2B5EF4-FFF2-40B4-BE49-F238E27FC236}">
              <a16:creationId xmlns:a16="http://schemas.microsoft.com/office/drawing/2014/main" id="{B255B43C-FDC4-4A73-A78C-A44DD3775357}"/>
            </a:ext>
          </a:extLst>
        </xdr:cNvPr>
        <xdr:cNvSpPr txBox="1"/>
      </xdr:nvSpPr>
      <xdr:spPr>
        <a:xfrm>
          <a:off x="12563583" y="2010017"/>
          <a:ext cx="1186543" cy="370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AB35F41-0EAD-45DF-A310-7027ADDFBAB2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CANCELLED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22</xdr:col>
      <xdr:colOff>575796</xdr:colOff>
      <xdr:row>7</xdr:row>
      <xdr:rowOff>5043</xdr:rowOff>
    </xdr:from>
    <xdr:to>
      <xdr:col>25</xdr:col>
      <xdr:colOff>53284</xdr:colOff>
      <xdr:row>10</xdr:row>
      <xdr:rowOff>31938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DC5C34C-5EA0-4EAC-8587-436083BEADF6}"/>
            </a:ext>
          </a:extLst>
        </xdr:cNvPr>
        <xdr:cNvSpPr/>
      </xdr:nvSpPr>
      <xdr:spPr>
        <a:xfrm>
          <a:off x="14759882" y="1137157"/>
          <a:ext cx="1306288" cy="5820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rPr>
            <a:t>TOP STATUS VALUE</a:t>
          </a:r>
        </a:p>
      </xdr:txBody>
    </xdr:sp>
    <xdr:clientData/>
  </xdr:twoCellAnchor>
  <xdr:twoCellAnchor>
    <xdr:from>
      <xdr:col>23</xdr:col>
      <xdr:colOff>69609</xdr:colOff>
      <xdr:row>12</xdr:row>
      <xdr:rowOff>5124</xdr:rowOff>
    </xdr:from>
    <xdr:to>
      <xdr:col>25</xdr:col>
      <xdr:colOff>36952</xdr:colOff>
      <xdr:row>13</xdr:row>
      <xdr:rowOff>10245</xdr:rowOff>
    </xdr:to>
    <xdr:sp macro="" textlink="$A$28">
      <xdr:nvSpPr>
        <xdr:cNvPr id="20" name="TextBox 19">
          <a:extLst>
            <a:ext uri="{FF2B5EF4-FFF2-40B4-BE49-F238E27FC236}">
              <a16:creationId xmlns:a16="http://schemas.microsoft.com/office/drawing/2014/main" id="{55652C06-6E2C-4A38-BC85-7572C7EC9B29}"/>
            </a:ext>
          </a:extLst>
        </xdr:cNvPr>
        <xdr:cNvSpPr txBox="1"/>
      </xdr:nvSpPr>
      <xdr:spPr>
        <a:xfrm>
          <a:off x="15255180" y="2062524"/>
          <a:ext cx="1186543" cy="277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EA9D5C3-D3EA-4C09-ADB4-1F8D2D6D90C2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419</a:t>
          </a:fld>
          <a:endParaRPr lang="en-US" sz="1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566058</xdr:colOff>
      <xdr:row>7</xdr:row>
      <xdr:rowOff>17310</xdr:rowOff>
    </xdr:from>
    <xdr:to>
      <xdr:col>12</xdr:col>
      <xdr:colOff>370118</xdr:colOff>
      <xdr:row>10</xdr:row>
      <xdr:rowOff>44205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09BCA82-4C5C-485E-B6D3-52DC48DE33C5}"/>
            </a:ext>
          </a:extLst>
        </xdr:cNvPr>
        <xdr:cNvSpPr/>
      </xdr:nvSpPr>
      <xdr:spPr>
        <a:xfrm>
          <a:off x="6498772" y="1149424"/>
          <a:ext cx="1632860" cy="5820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>
              <a:solidFill>
                <a:schemeClr val="tx1">
                  <a:lumMod val="95000"/>
                  <a:lumOff val="5000"/>
                </a:schemeClr>
              </a:solidFill>
            </a:rPr>
            <a:t>TOTAL REVENUE</a:t>
          </a:r>
          <a:endParaRPr lang="en-US" sz="14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oneCellAnchor>
    <xdr:from>
      <xdr:col>20</xdr:col>
      <xdr:colOff>332509</xdr:colOff>
      <xdr:row>19</xdr:row>
      <xdr:rowOff>6507</xdr:rowOff>
    </xdr:from>
    <xdr:ext cx="1690255" cy="749821"/>
    <xdr:sp macro="" textlink="Performance!$A$5">
      <xdr:nvSpPr>
        <xdr:cNvPr id="25" name="TextBox 24">
          <a:extLst>
            <a:ext uri="{FF2B5EF4-FFF2-40B4-BE49-F238E27FC236}">
              <a16:creationId xmlns:a16="http://schemas.microsoft.com/office/drawing/2014/main" id="{2CBFF815-B3F7-F9A5-BB85-998A3CC2C2B2}"/>
            </a:ext>
          </a:extLst>
        </xdr:cNvPr>
        <xdr:cNvSpPr txBox="1"/>
      </xdr:nvSpPr>
      <xdr:spPr>
        <a:xfrm>
          <a:off x="13702145" y="3414725"/>
          <a:ext cx="1690255" cy="7498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B9676F6-4097-4440-83E1-7AF0F009BAD4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Accessories  2025 Average Status Overview </a:t>
          </a:fld>
          <a:endParaRPr lang="en-US" sz="1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1310640</xdr:colOff>
      <xdr:row>8</xdr:row>
      <xdr:rowOff>0</xdr:rowOff>
    </xdr:from>
    <xdr:ext cx="216534" cy="264560"/>
    <xdr:sp macro="" textlink="$V$3">
      <xdr:nvSpPr>
        <xdr:cNvPr id="10" name="TextBox 9">
          <a:extLst>
            <a:ext uri="{FF2B5EF4-FFF2-40B4-BE49-F238E27FC236}">
              <a16:creationId xmlns:a16="http://schemas.microsoft.com/office/drawing/2014/main" id="{B1D875E4-661A-97FB-2EEA-EC1523E018AD}"/>
            </a:ext>
          </a:extLst>
        </xdr:cNvPr>
        <xdr:cNvSpPr txBox="1"/>
      </xdr:nvSpPr>
      <xdr:spPr>
        <a:xfrm>
          <a:off x="1310640" y="1836420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251E06F-5858-409E-B87F-07E3FE94C27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en-US" sz="1100"/>
        </a:p>
      </xdr:txBody>
    </xdr:sp>
    <xdr:clientData/>
  </xdr:oneCellAnchor>
  <xdr:twoCellAnchor>
    <xdr:from>
      <xdr:col>11</xdr:col>
      <xdr:colOff>502023</xdr:colOff>
      <xdr:row>4</xdr:row>
      <xdr:rowOff>160084</xdr:rowOff>
    </xdr:from>
    <xdr:to>
      <xdr:col>17</xdr:col>
      <xdr:colOff>326572</xdr:colOff>
      <xdr:row>8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D43DBA3-7B90-15F6-2612-4C6396597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422594</xdr:colOff>
      <xdr:row>4</xdr:row>
      <xdr:rowOff>160084</xdr:rowOff>
    </xdr:from>
    <xdr:to>
      <xdr:col>12</xdr:col>
      <xdr:colOff>208748</xdr:colOff>
      <xdr:row>6</xdr:row>
      <xdr:rowOff>122304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7D76829-A85E-627A-B6D8-96D2DBF304FC}"/>
            </a:ext>
          </a:extLst>
        </xdr:cNvPr>
        <xdr:cNvSpPr txBox="1"/>
      </xdr:nvSpPr>
      <xdr:spPr>
        <a:xfrm>
          <a:off x="1659723" y="1029660"/>
          <a:ext cx="1570131" cy="3208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 b="0"/>
            <a:t>Stock</a:t>
          </a:r>
          <a:r>
            <a:rPr lang="tr-TR" sz="1800" b="0" baseline="0"/>
            <a:t> Level:</a:t>
          </a:r>
          <a:endParaRPr lang="en-US" sz="1800" b="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564776</xdr:colOff>
      <xdr:row>17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3F5D1A8-1925-6813-F809-302BCC69D3E1}"/>
            </a:ext>
          </a:extLst>
        </xdr:cNvPr>
        <xdr:cNvSpPr/>
      </xdr:nvSpPr>
      <xdr:spPr>
        <a:xfrm>
          <a:off x="0" y="0"/>
          <a:ext cx="10730752" cy="340658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10</xdr:col>
      <xdr:colOff>589110</xdr:colOff>
      <xdr:row>12</xdr:row>
      <xdr:rowOff>181031</xdr:rowOff>
    </xdr:from>
    <xdr:ext cx="740228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FAFA8C4-4E80-2423-8602-B63B65B3F009}"/>
            </a:ext>
          </a:extLst>
        </xdr:cNvPr>
        <xdr:cNvSpPr txBox="1"/>
      </xdr:nvSpPr>
      <xdr:spPr>
        <a:xfrm>
          <a:off x="1993367" y="2684745"/>
          <a:ext cx="74022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8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opLeftCell="D1" workbookViewId="0">
      <pane ySplit="1" topLeftCell="A2" activePane="bottomLeft" state="frozen"/>
      <selection pane="bottomLeft" activeCell="L1" sqref="L1:L1048576"/>
    </sheetView>
  </sheetViews>
  <sheetFormatPr defaultRowHeight="14.4" x14ac:dyDescent="0.3"/>
  <cols>
    <col min="1" max="1" width="17.6640625" customWidth="1"/>
    <col min="2" max="3" width="12" customWidth="1"/>
    <col min="4" max="4" width="22" customWidth="1"/>
    <col min="5" max="5" width="14" customWidth="1"/>
    <col min="6" max="6" width="10" customWidth="1"/>
    <col min="7" max="7" width="22" customWidth="1"/>
    <col min="8" max="9" width="8" customWidth="1"/>
    <col min="10" max="10" width="12" customWidth="1"/>
    <col min="11" max="11" width="10" customWidth="1"/>
    <col min="12" max="12" width="10" style="19" customWidth="1"/>
    <col min="13" max="13" width="12" customWidth="1"/>
    <col min="14" max="14" width="18.77734375" style="13" customWidth="1"/>
    <col min="15" max="15" width="18.77734375" style="13" hidden="1" customWidth="1"/>
    <col min="16" max="16" width="12" customWidth="1"/>
    <col min="17" max="17" width="20.88671875" customWidth="1"/>
  </cols>
  <sheetData>
    <row r="1" spans="1:17" ht="25.95" customHeight="1" x14ac:dyDescent="0.3">
      <c r="A1" s="11" t="s">
        <v>176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1" t="s">
        <v>9</v>
      </c>
      <c r="L1" s="47" t="s">
        <v>186</v>
      </c>
      <c r="M1" s="11" t="s">
        <v>10</v>
      </c>
      <c r="N1" s="12" t="s">
        <v>11</v>
      </c>
      <c r="O1" s="48" t="s">
        <v>187</v>
      </c>
      <c r="P1" s="1" t="s">
        <v>12</v>
      </c>
      <c r="Q1" s="10" t="s">
        <v>168</v>
      </c>
    </row>
    <row r="2" spans="1:17" x14ac:dyDescent="0.3">
      <c r="A2" t="str">
        <f>LEFT(C2&amp;Orders_Data!D2,4)</f>
        <v>P007</v>
      </c>
      <c r="B2" s="2" t="s">
        <v>13</v>
      </c>
      <c r="C2" s="2" t="s">
        <v>14</v>
      </c>
      <c r="D2" s="2" t="s">
        <v>15</v>
      </c>
      <c r="E2" s="40" t="s">
        <v>16</v>
      </c>
      <c r="F2" s="2" t="s">
        <v>17</v>
      </c>
      <c r="G2" s="2" t="s">
        <v>18</v>
      </c>
      <c r="H2" s="2" t="s">
        <v>19</v>
      </c>
      <c r="I2" s="50">
        <v>2024</v>
      </c>
      <c r="J2" s="3">
        <v>249.99</v>
      </c>
      <c r="K2" s="50">
        <v>8</v>
      </c>
      <c r="L2" s="45">
        <f>M2/100</f>
        <v>0</v>
      </c>
      <c r="M2" s="4">
        <v>0</v>
      </c>
      <c r="N2" s="14">
        <v>1999.92</v>
      </c>
      <c r="O2" s="49">
        <v>1</v>
      </c>
      <c r="P2" s="2" t="s">
        <v>20</v>
      </c>
      <c r="Q2" s="2" t="str">
        <f>VLOOKUP($A2,Inventory!$A$2:$H$11,6,0)</f>
        <v>ErgoOffice SA</v>
      </c>
    </row>
    <row r="3" spans="1:17" x14ac:dyDescent="0.3">
      <c r="A3" t="str">
        <f>LEFT(C3&amp;Orders_Data!D3,4)</f>
        <v>P002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1">
        <v>2024</v>
      </c>
      <c r="J3" s="6">
        <v>29.99</v>
      </c>
      <c r="K3" s="51">
        <v>20</v>
      </c>
      <c r="L3" s="45">
        <f t="shared" ref="L3:L66" si="0">M3/100</f>
        <v>0.05</v>
      </c>
      <c r="M3" s="7">
        <v>5</v>
      </c>
      <c r="N3" s="15">
        <v>569.80999999999995</v>
      </c>
      <c r="O3" s="49">
        <v>1</v>
      </c>
      <c r="P3" s="5" t="s">
        <v>20</v>
      </c>
      <c r="Q3" s="2" t="str">
        <f>VLOOKUP($A3,Inventory!$A$2:$H$11,6,0)</f>
        <v>GadgetHub Polska</v>
      </c>
    </row>
    <row r="4" spans="1:17" x14ac:dyDescent="0.3">
      <c r="A4" t="str">
        <f>LEFT(C4&amp;Orders_Data!D4,4)</f>
        <v>P007</v>
      </c>
      <c r="B4" s="2" t="s">
        <v>28</v>
      </c>
      <c r="C4" s="2" t="s">
        <v>14</v>
      </c>
      <c r="D4" s="2" t="s">
        <v>15</v>
      </c>
      <c r="E4" s="2" t="s">
        <v>16</v>
      </c>
      <c r="F4" s="2" t="s">
        <v>29</v>
      </c>
      <c r="G4" s="2" t="s">
        <v>30</v>
      </c>
      <c r="H4" s="2" t="s">
        <v>31</v>
      </c>
      <c r="I4" s="50">
        <v>2025</v>
      </c>
      <c r="J4" s="3">
        <v>249.99</v>
      </c>
      <c r="K4" s="50">
        <v>7</v>
      </c>
      <c r="L4" s="45">
        <f t="shared" si="0"/>
        <v>0</v>
      </c>
      <c r="M4" s="4">
        <v>0</v>
      </c>
      <c r="N4" s="14">
        <v>1749.93</v>
      </c>
      <c r="O4" s="49">
        <v>1</v>
      </c>
      <c r="P4" s="2" t="s">
        <v>32</v>
      </c>
      <c r="Q4" s="2" t="str">
        <f>VLOOKUP($A4,Inventory!$A$2:$H$11,6,0)</f>
        <v>ErgoOffice SA</v>
      </c>
    </row>
    <row r="5" spans="1:17" x14ac:dyDescent="0.3">
      <c r="A5" t="str">
        <f>LEFT(C5&amp;Orders_Data!D5,4)</f>
        <v>P003</v>
      </c>
      <c r="B5" s="5" t="s">
        <v>33</v>
      </c>
      <c r="C5" s="5" t="s">
        <v>34</v>
      </c>
      <c r="D5" s="5" t="s">
        <v>35</v>
      </c>
      <c r="E5" s="5" t="s">
        <v>24</v>
      </c>
      <c r="F5" s="5" t="s">
        <v>29</v>
      </c>
      <c r="G5" s="5" t="s">
        <v>36</v>
      </c>
      <c r="H5" s="5" t="s">
        <v>37</v>
      </c>
      <c r="I5" s="51">
        <v>2024</v>
      </c>
      <c r="J5" s="6">
        <v>49.99</v>
      </c>
      <c r="K5" s="51">
        <v>16</v>
      </c>
      <c r="L5" s="45">
        <f t="shared" si="0"/>
        <v>0</v>
      </c>
      <c r="M5" s="7">
        <v>0</v>
      </c>
      <c r="N5" s="15">
        <v>799.84</v>
      </c>
      <c r="O5" s="49">
        <v>1</v>
      </c>
      <c r="P5" s="5" t="s">
        <v>32</v>
      </c>
      <c r="Q5" s="2" t="str">
        <f>VLOOKUP($A5,Inventory!$A$2:$H$11,6,0)</f>
        <v>GadgetHub Polska</v>
      </c>
    </row>
    <row r="6" spans="1:17" x14ac:dyDescent="0.3">
      <c r="A6" t="str">
        <f>LEFT(C6&amp;Orders_Data!D6,4)</f>
        <v>P001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42</v>
      </c>
      <c r="H6" s="2" t="s">
        <v>43</v>
      </c>
      <c r="I6" s="50">
        <v>2024</v>
      </c>
      <c r="J6" s="3">
        <v>1299.99</v>
      </c>
      <c r="K6" s="50">
        <v>12</v>
      </c>
      <c r="L6" s="45">
        <f t="shared" si="0"/>
        <v>0.1</v>
      </c>
      <c r="M6" s="4">
        <v>10</v>
      </c>
      <c r="N6" s="14">
        <v>14039.89</v>
      </c>
      <c r="O6" s="49">
        <v>1</v>
      </c>
      <c r="P6" s="2" t="s">
        <v>44</v>
      </c>
      <c r="Q6" s="2" t="str">
        <f>VLOOKUP($A6,Inventory!$A$2:$H$11,6,0)</f>
        <v>TechWorld Sp. z o.o.</v>
      </c>
    </row>
    <row r="7" spans="1:17" x14ac:dyDescent="0.3">
      <c r="A7" t="str">
        <f>LEFT(C7&amp;Orders_Data!D7,4)</f>
        <v>P008</v>
      </c>
      <c r="B7" s="5" t="s">
        <v>45</v>
      </c>
      <c r="C7" s="5" t="s">
        <v>46</v>
      </c>
      <c r="D7" s="5" t="s">
        <v>47</v>
      </c>
      <c r="E7" s="5" t="s">
        <v>16</v>
      </c>
      <c r="F7" s="5" t="s">
        <v>29</v>
      </c>
      <c r="G7" s="5" t="s">
        <v>30</v>
      </c>
      <c r="H7" s="5" t="s">
        <v>19</v>
      </c>
      <c r="I7" s="51">
        <v>2025</v>
      </c>
      <c r="J7" s="6">
        <v>499.99</v>
      </c>
      <c r="K7" s="51">
        <v>2</v>
      </c>
      <c r="L7" s="45">
        <f t="shared" si="0"/>
        <v>0</v>
      </c>
      <c r="M7" s="7">
        <v>0</v>
      </c>
      <c r="N7" s="15">
        <v>999.98</v>
      </c>
      <c r="O7" s="49">
        <v>1</v>
      </c>
      <c r="P7" s="5" t="s">
        <v>20</v>
      </c>
      <c r="Q7" s="2" t="str">
        <f>VLOOKUP($A7,Inventory!$A$2:$H$11,6,0)</f>
        <v>ErgoOffice SA</v>
      </c>
    </row>
    <row r="8" spans="1:17" x14ac:dyDescent="0.3">
      <c r="A8" t="str">
        <f>LEFT(C8&amp;Orders_Data!D8,4)</f>
        <v>P004</v>
      </c>
      <c r="B8" s="2" t="s">
        <v>48</v>
      </c>
      <c r="C8" s="2" t="s">
        <v>49</v>
      </c>
      <c r="D8" s="2" t="s">
        <v>50</v>
      </c>
      <c r="E8" s="2" t="s">
        <v>41</v>
      </c>
      <c r="F8" s="2" t="s">
        <v>51</v>
      </c>
      <c r="G8" s="2" t="s">
        <v>52</v>
      </c>
      <c r="H8" s="2" t="s">
        <v>19</v>
      </c>
      <c r="I8" s="50">
        <v>2024</v>
      </c>
      <c r="J8" s="3">
        <v>399.99</v>
      </c>
      <c r="K8" s="50">
        <v>17</v>
      </c>
      <c r="L8" s="45">
        <f t="shared" si="0"/>
        <v>0.15</v>
      </c>
      <c r="M8" s="4">
        <v>15</v>
      </c>
      <c r="N8" s="14">
        <v>5779.86</v>
      </c>
      <c r="O8" s="49">
        <v>1</v>
      </c>
      <c r="P8" s="2" t="s">
        <v>20</v>
      </c>
      <c r="Q8" s="2" t="str">
        <f>VLOOKUP($A8,Inventory!$A$2:$H$11,6,0)</f>
        <v>TechWorld Sp. z o.o.</v>
      </c>
    </row>
    <row r="9" spans="1:17" x14ac:dyDescent="0.3">
      <c r="A9" t="str">
        <f>LEFT(C9&amp;Orders_Data!D9,4)</f>
        <v>P001</v>
      </c>
      <c r="B9" s="5" t="s">
        <v>53</v>
      </c>
      <c r="C9" s="5" t="s">
        <v>39</v>
      </c>
      <c r="D9" s="5" t="s">
        <v>40</v>
      </c>
      <c r="E9" s="5" t="s">
        <v>41</v>
      </c>
      <c r="F9" s="5" t="s">
        <v>54</v>
      </c>
      <c r="G9" s="5" t="s">
        <v>55</v>
      </c>
      <c r="H9" s="5" t="s">
        <v>56</v>
      </c>
      <c r="I9" s="51">
        <v>2025</v>
      </c>
      <c r="J9" s="6">
        <v>1299.99</v>
      </c>
      <c r="K9" s="51">
        <v>14</v>
      </c>
      <c r="L9" s="45">
        <f t="shared" si="0"/>
        <v>0</v>
      </c>
      <c r="M9" s="7">
        <v>0</v>
      </c>
      <c r="N9" s="15">
        <v>18199.86</v>
      </c>
      <c r="O9" s="49">
        <v>1</v>
      </c>
      <c r="P9" s="5" t="s">
        <v>32</v>
      </c>
      <c r="Q9" s="2" t="str">
        <f>VLOOKUP($A9,Inventory!$A$2:$H$11,6,0)</f>
        <v>TechWorld Sp. z o.o.</v>
      </c>
    </row>
    <row r="10" spans="1:17" x14ac:dyDescent="0.3">
      <c r="A10" t="str">
        <f>LEFT(C10&amp;Orders_Data!D10,4)</f>
        <v>P002</v>
      </c>
      <c r="B10" s="2" t="s">
        <v>57</v>
      </c>
      <c r="C10" s="2" t="s">
        <v>22</v>
      </c>
      <c r="D10" s="2" t="s">
        <v>23</v>
      </c>
      <c r="E10" s="2" t="s">
        <v>24</v>
      </c>
      <c r="F10" s="2" t="s">
        <v>51</v>
      </c>
      <c r="G10" s="2" t="s">
        <v>52</v>
      </c>
      <c r="H10" s="2" t="s">
        <v>19</v>
      </c>
      <c r="I10" s="50">
        <v>2024</v>
      </c>
      <c r="J10" s="3">
        <v>29.99</v>
      </c>
      <c r="K10" s="50">
        <v>13</v>
      </c>
      <c r="L10" s="45">
        <f t="shared" si="0"/>
        <v>0</v>
      </c>
      <c r="M10" s="4">
        <v>0</v>
      </c>
      <c r="N10" s="14">
        <v>389.87</v>
      </c>
      <c r="O10" s="49">
        <v>1</v>
      </c>
      <c r="P10" s="2" t="s">
        <v>20</v>
      </c>
      <c r="Q10" s="2" t="str">
        <f>VLOOKUP($A10,Inventory!$A$2:$H$11,6,0)</f>
        <v>GadgetHub Polska</v>
      </c>
    </row>
    <row r="11" spans="1:17" x14ac:dyDescent="0.3">
      <c r="A11" t="str">
        <f>LEFT(C11&amp;Orders_Data!D11,4)</f>
        <v>P009</v>
      </c>
      <c r="B11" s="5" t="s">
        <v>58</v>
      </c>
      <c r="C11" s="5" t="s">
        <v>59</v>
      </c>
      <c r="D11" s="5" t="s">
        <v>60</v>
      </c>
      <c r="E11" s="5" t="s">
        <v>41</v>
      </c>
      <c r="F11" s="5" t="s">
        <v>17</v>
      </c>
      <c r="G11" s="5" t="s">
        <v>18</v>
      </c>
      <c r="H11" s="5" t="s">
        <v>61</v>
      </c>
      <c r="I11" s="51">
        <v>2024</v>
      </c>
      <c r="J11" s="6">
        <v>199.99</v>
      </c>
      <c r="K11" s="51">
        <v>15</v>
      </c>
      <c r="L11" s="45">
        <f t="shared" si="0"/>
        <v>0</v>
      </c>
      <c r="M11" s="7">
        <v>0</v>
      </c>
      <c r="N11" s="15">
        <v>2999.85</v>
      </c>
      <c r="O11" s="49">
        <v>1</v>
      </c>
      <c r="P11" s="5" t="s">
        <v>62</v>
      </c>
      <c r="Q11" s="2" t="str">
        <f>VLOOKUP($A11,Inventory!$A$2:$H$11,6,0)</f>
        <v>TechWorld Sp. z o.o.</v>
      </c>
    </row>
    <row r="12" spans="1:17" x14ac:dyDescent="0.3">
      <c r="A12" t="str">
        <f>LEFT(C12&amp;Orders_Data!D12,4)</f>
        <v>P007</v>
      </c>
      <c r="B12" s="2" t="s">
        <v>63</v>
      </c>
      <c r="C12" s="2" t="s">
        <v>14</v>
      </c>
      <c r="D12" s="2" t="s">
        <v>15</v>
      </c>
      <c r="E12" s="2" t="s">
        <v>16</v>
      </c>
      <c r="F12" s="2" t="s">
        <v>51</v>
      </c>
      <c r="G12" s="2" t="s">
        <v>52</v>
      </c>
      <c r="H12" s="2" t="s">
        <v>64</v>
      </c>
      <c r="I12" s="50">
        <v>2025</v>
      </c>
      <c r="J12" s="3">
        <v>249.99</v>
      </c>
      <c r="K12" s="50">
        <v>2</v>
      </c>
      <c r="L12" s="45">
        <f t="shared" si="0"/>
        <v>0</v>
      </c>
      <c r="M12" s="4">
        <v>0</v>
      </c>
      <c r="N12" s="14">
        <v>499.98</v>
      </c>
      <c r="O12" s="49">
        <v>1</v>
      </c>
      <c r="P12" s="2" t="s">
        <v>62</v>
      </c>
      <c r="Q12" s="2" t="str">
        <f>VLOOKUP($A12,Inventory!$A$2:$H$11,6,0)</f>
        <v>ErgoOffice SA</v>
      </c>
    </row>
    <row r="13" spans="1:17" x14ac:dyDescent="0.3">
      <c r="A13" t="str">
        <f>LEFT(C13&amp;Orders_Data!D13,4)</f>
        <v>P003</v>
      </c>
      <c r="B13" s="5" t="s">
        <v>65</v>
      </c>
      <c r="C13" s="5" t="s">
        <v>34</v>
      </c>
      <c r="D13" s="5" t="s">
        <v>35</v>
      </c>
      <c r="E13" s="5" t="s">
        <v>24</v>
      </c>
      <c r="F13" s="5" t="s">
        <v>29</v>
      </c>
      <c r="G13" s="5" t="s">
        <v>36</v>
      </c>
      <c r="H13" s="5" t="s">
        <v>37</v>
      </c>
      <c r="I13" s="51">
        <v>2024</v>
      </c>
      <c r="J13" s="6">
        <v>49.99</v>
      </c>
      <c r="K13" s="51">
        <v>4</v>
      </c>
      <c r="L13" s="45">
        <f t="shared" si="0"/>
        <v>0</v>
      </c>
      <c r="M13" s="7">
        <v>0</v>
      </c>
      <c r="N13" s="15">
        <v>199.96</v>
      </c>
      <c r="O13" s="49">
        <v>1</v>
      </c>
      <c r="P13" s="5" t="s">
        <v>66</v>
      </c>
      <c r="Q13" s="2" t="str">
        <f>VLOOKUP($A13,Inventory!$A$2:$H$11,6,0)</f>
        <v>GadgetHub Polska</v>
      </c>
    </row>
    <row r="14" spans="1:17" x14ac:dyDescent="0.3">
      <c r="A14" t="str">
        <f>LEFT(C14&amp;Orders_Data!D14,4)</f>
        <v>P003</v>
      </c>
      <c r="B14" s="2" t="s">
        <v>67</v>
      </c>
      <c r="C14" s="2" t="s">
        <v>34</v>
      </c>
      <c r="D14" s="2" t="s">
        <v>35</v>
      </c>
      <c r="E14" s="2" t="s">
        <v>24</v>
      </c>
      <c r="F14" s="2" t="s">
        <v>51</v>
      </c>
      <c r="G14" s="2" t="s">
        <v>52</v>
      </c>
      <c r="H14" s="2" t="s">
        <v>56</v>
      </c>
      <c r="I14" s="50">
        <v>2024</v>
      </c>
      <c r="J14" s="3">
        <v>49.99</v>
      </c>
      <c r="K14" s="50">
        <v>18</v>
      </c>
      <c r="L14" s="45">
        <f t="shared" si="0"/>
        <v>0</v>
      </c>
      <c r="M14" s="4">
        <v>0</v>
      </c>
      <c r="N14" s="14">
        <v>899.82</v>
      </c>
      <c r="O14" s="49">
        <v>1</v>
      </c>
      <c r="P14" s="2" t="s">
        <v>32</v>
      </c>
      <c r="Q14" s="2" t="str">
        <f>VLOOKUP($A14,Inventory!$A$2:$H$11,6,0)</f>
        <v>GadgetHub Polska</v>
      </c>
    </row>
    <row r="15" spans="1:17" x14ac:dyDescent="0.3">
      <c r="A15" t="str">
        <f>LEFT(C15&amp;Orders_Data!D15,4)</f>
        <v>P004</v>
      </c>
      <c r="B15" s="5" t="s">
        <v>68</v>
      </c>
      <c r="C15" s="5" t="s">
        <v>49</v>
      </c>
      <c r="D15" s="5" t="s">
        <v>50</v>
      </c>
      <c r="E15" s="5" t="s">
        <v>41</v>
      </c>
      <c r="F15" s="5" t="s">
        <v>25</v>
      </c>
      <c r="G15" s="5" t="s">
        <v>42</v>
      </c>
      <c r="H15" s="5" t="s">
        <v>31</v>
      </c>
      <c r="I15" s="51">
        <v>2024</v>
      </c>
      <c r="J15" s="6">
        <v>399.99</v>
      </c>
      <c r="K15" s="51">
        <v>3</v>
      </c>
      <c r="L15" s="45">
        <f t="shared" si="0"/>
        <v>0.1</v>
      </c>
      <c r="M15" s="7">
        <v>10</v>
      </c>
      <c r="N15" s="15">
        <v>1079.97</v>
      </c>
      <c r="O15" s="49">
        <v>1</v>
      </c>
      <c r="P15" s="5" t="s">
        <v>66</v>
      </c>
      <c r="Q15" s="2" t="str">
        <f>VLOOKUP($A15,Inventory!$A$2:$H$11,6,0)</f>
        <v>TechWorld Sp. z o.o.</v>
      </c>
    </row>
    <row r="16" spans="1:17" x14ac:dyDescent="0.3">
      <c r="A16" t="str">
        <f>LEFT(C16&amp;Orders_Data!D16,4)</f>
        <v>P001</v>
      </c>
      <c r="B16" s="2" t="s">
        <v>69</v>
      </c>
      <c r="C16" s="2" t="s">
        <v>39</v>
      </c>
      <c r="D16" s="2" t="s">
        <v>40</v>
      </c>
      <c r="E16" s="2" t="s">
        <v>41</v>
      </c>
      <c r="F16" s="2" t="s">
        <v>29</v>
      </c>
      <c r="G16" s="2" t="s">
        <v>30</v>
      </c>
      <c r="H16" s="2" t="s">
        <v>31</v>
      </c>
      <c r="I16" s="50">
        <v>2024</v>
      </c>
      <c r="J16" s="3">
        <v>1299.99</v>
      </c>
      <c r="K16" s="50">
        <v>13</v>
      </c>
      <c r="L16" s="45">
        <f t="shared" si="0"/>
        <v>0.05</v>
      </c>
      <c r="M16" s="4">
        <v>5</v>
      </c>
      <c r="N16" s="14">
        <v>16054.88</v>
      </c>
      <c r="O16" s="49">
        <v>1</v>
      </c>
      <c r="P16" s="2" t="s">
        <v>66</v>
      </c>
      <c r="Q16" s="2" t="str">
        <f>VLOOKUP($A16,Inventory!$A$2:$H$11,6,0)</f>
        <v>TechWorld Sp. z o.o.</v>
      </c>
    </row>
    <row r="17" spans="1:17" x14ac:dyDescent="0.3">
      <c r="A17" t="str">
        <f>LEFT(C17&amp;Orders_Data!D17,4)</f>
        <v>P007</v>
      </c>
      <c r="B17" s="5" t="s">
        <v>70</v>
      </c>
      <c r="C17" s="5" t="s">
        <v>14</v>
      </c>
      <c r="D17" s="5" t="s">
        <v>15</v>
      </c>
      <c r="E17" s="5" t="s">
        <v>16</v>
      </c>
      <c r="F17" s="5" t="s">
        <v>17</v>
      </c>
      <c r="G17" s="5" t="s">
        <v>71</v>
      </c>
      <c r="H17" s="5" t="s">
        <v>31</v>
      </c>
      <c r="I17" s="51">
        <v>2024</v>
      </c>
      <c r="J17" s="6">
        <v>249.99</v>
      </c>
      <c r="K17" s="51">
        <v>6</v>
      </c>
      <c r="L17" s="45">
        <f t="shared" si="0"/>
        <v>0</v>
      </c>
      <c r="M17" s="7">
        <v>0</v>
      </c>
      <c r="N17" s="15">
        <v>1499.94</v>
      </c>
      <c r="O17" s="49">
        <v>1</v>
      </c>
      <c r="P17" s="5" t="s">
        <v>66</v>
      </c>
      <c r="Q17" s="2" t="str">
        <f>VLOOKUP($A17,Inventory!$A$2:$H$11,6,0)</f>
        <v>ErgoOffice SA</v>
      </c>
    </row>
    <row r="18" spans="1:17" x14ac:dyDescent="0.3">
      <c r="A18" t="str">
        <f>LEFT(C18&amp;Orders_Data!D18,4)</f>
        <v>P007</v>
      </c>
      <c r="B18" s="2" t="s">
        <v>72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73</v>
      </c>
      <c r="I18" s="50">
        <v>2024</v>
      </c>
      <c r="J18" s="3">
        <v>249.99</v>
      </c>
      <c r="K18" s="50">
        <v>10</v>
      </c>
      <c r="L18" s="45">
        <f t="shared" si="0"/>
        <v>0</v>
      </c>
      <c r="M18" s="4">
        <v>0</v>
      </c>
      <c r="N18" s="14">
        <v>2499.9</v>
      </c>
      <c r="O18" s="49">
        <v>1</v>
      </c>
      <c r="P18" s="2" t="s">
        <v>66</v>
      </c>
      <c r="Q18" s="2" t="str">
        <f>VLOOKUP($A18,Inventory!$A$2:$H$11,6,0)</f>
        <v>ErgoOffice SA</v>
      </c>
    </row>
    <row r="19" spans="1:17" x14ac:dyDescent="0.3">
      <c r="A19" t="str">
        <f>LEFT(C19&amp;Orders_Data!D19,4)</f>
        <v>P004</v>
      </c>
      <c r="B19" s="5" t="s">
        <v>74</v>
      </c>
      <c r="C19" s="5" t="s">
        <v>49</v>
      </c>
      <c r="D19" s="5" t="s">
        <v>50</v>
      </c>
      <c r="E19" s="5" t="s">
        <v>41</v>
      </c>
      <c r="F19" s="5" t="s">
        <v>51</v>
      </c>
      <c r="G19" s="5" t="s">
        <v>52</v>
      </c>
      <c r="H19" s="5" t="s">
        <v>73</v>
      </c>
      <c r="I19" s="51">
        <v>2025</v>
      </c>
      <c r="J19" s="6">
        <v>399.99</v>
      </c>
      <c r="K19" s="51">
        <v>3</v>
      </c>
      <c r="L19" s="45">
        <f t="shared" si="0"/>
        <v>0.05</v>
      </c>
      <c r="M19" s="7">
        <v>5</v>
      </c>
      <c r="N19" s="15">
        <v>1139.97</v>
      </c>
      <c r="O19" s="49">
        <v>1</v>
      </c>
      <c r="P19" s="5" t="s">
        <v>32</v>
      </c>
      <c r="Q19" s="2" t="str">
        <f>VLOOKUP($A19,Inventory!$A$2:$H$11,6,0)</f>
        <v>TechWorld Sp. z o.o.</v>
      </c>
    </row>
    <row r="20" spans="1:17" x14ac:dyDescent="0.3">
      <c r="A20" t="str">
        <f>LEFT(C20&amp;Orders_Data!D20,4)</f>
        <v>P005</v>
      </c>
      <c r="B20" s="2" t="s">
        <v>75</v>
      </c>
      <c r="C20" s="2" t="s">
        <v>76</v>
      </c>
      <c r="D20" s="2" t="s">
        <v>77</v>
      </c>
      <c r="E20" s="2" t="s">
        <v>24</v>
      </c>
      <c r="F20" s="2" t="s">
        <v>54</v>
      </c>
      <c r="G20" s="2" t="s">
        <v>78</v>
      </c>
      <c r="H20" s="2" t="s">
        <v>79</v>
      </c>
      <c r="I20" s="50">
        <v>2025</v>
      </c>
      <c r="J20" s="3">
        <v>89.99</v>
      </c>
      <c r="K20" s="50">
        <v>16</v>
      </c>
      <c r="L20" s="45">
        <f t="shared" si="0"/>
        <v>0.1</v>
      </c>
      <c r="M20" s="4">
        <v>10</v>
      </c>
      <c r="N20" s="14">
        <v>1295.8599999999999</v>
      </c>
      <c r="O20" s="49">
        <v>1</v>
      </c>
      <c r="P20" s="2" t="s">
        <v>20</v>
      </c>
      <c r="Q20" s="2" t="str">
        <f>VLOOKUP($A20,Inventory!$A$2:$H$11,6,0)</f>
        <v>GadgetHub Polska</v>
      </c>
    </row>
    <row r="21" spans="1:17" x14ac:dyDescent="0.3">
      <c r="A21" t="str">
        <f>LEFT(C21&amp;Orders_Data!D21,4)</f>
        <v>P005</v>
      </c>
      <c r="B21" s="5" t="s">
        <v>80</v>
      </c>
      <c r="C21" s="5" t="s">
        <v>76</v>
      </c>
      <c r="D21" s="5" t="s">
        <v>77</v>
      </c>
      <c r="E21" s="5" t="s">
        <v>24</v>
      </c>
      <c r="F21" s="5" t="s">
        <v>17</v>
      </c>
      <c r="G21" s="5" t="s">
        <v>71</v>
      </c>
      <c r="H21" s="5" t="s">
        <v>43</v>
      </c>
      <c r="I21" s="51">
        <v>2024</v>
      </c>
      <c r="J21" s="6">
        <v>89.99</v>
      </c>
      <c r="K21" s="51">
        <v>10</v>
      </c>
      <c r="L21" s="45">
        <f t="shared" si="0"/>
        <v>0.05</v>
      </c>
      <c r="M21" s="7">
        <v>5</v>
      </c>
      <c r="N21" s="15">
        <v>854.9</v>
      </c>
      <c r="O21" s="49">
        <v>1</v>
      </c>
      <c r="P21" s="5" t="s">
        <v>62</v>
      </c>
      <c r="Q21" s="2" t="str">
        <f>VLOOKUP($A21,Inventory!$A$2:$H$11,6,0)</f>
        <v>GadgetHub Polska</v>
      </c>
    </row>
    <row r="22" spans="1:17" x14ac:dyDescent="0.3">
      <c r="A22" t="str">
        <f>LEFT(C22&amp;Orders_Data!D22,4)</f>
        <v>P010</v>
      </c>
      <c r="B22" s="2" t="s">
        <v>81</v>
      </c>
      <c r="C22" s="2" t="s">
        <v>82</v>
      </c>
      <c r="D22" s="2" t="s">
        <v>83</v>
      </c>
      <c r="E22" s="2" t="s">
        <v>16</v>
      </c>
      <c r="F22" s="2" t="s">
        <v>17</v>
      </c>
      <c r="G22" s="2" t="s">
        <v>18</v>
      </c>
      <c r="H22" s="2" t="s">
        <v>43</v>
      </c>
      <c r="I22" s="50">
        <v>2025</v>
      </c>
      <c r="J22" s="3">
        <v>39.99</v>
      </c>
      <c r="K22" s="50">
        <v>7</v>
      </c>
      <c r="L22" s="45">
        <f t="shared" si="0"/>
        <v>0</v>
      </c>
      <c r="M22" s="4">
        <v>0</v>
      </c>
      <c r="N22" s="14">
        <v>279.93</v>
      </c>
      <c r="O22" s="49">
        <v>1</v>
      </c>
      <c r="P22" s="2" t="s">
        <v>44</v>
      </c>
      <c r="Q22" s="2" t="str">
        <f>VLOOKUP($A22,Inventory!$A$2:$H$11,6,0)</f>
        <v>ErgoOffice SA</v>
      </c>
    </row>
    <row r="23" spans="1:17" x14ac:dyDescent="0.3">
      <c r="A23" t="str">
        <f>LEFT(C23&amp;Orders_Data!D23,4)</f>
        <v>P006</v>
      </c>
      <c r="B23" s="5" t="s">
        <v>84</v>
      </c>
      <c r="C23" s="5" t="s">
        <v>85</v>
      </c>
      <c r="D23" s="5" t="s">
        <v>86</v>
      </c>
      <c r="E23" s="5" t="s">
        <v>41</v>
      </c>
      <c r="F23" s="5" t="s">
        <v>25</v>
      </c>
      <c r="G23" s="5" t="s">
        <v>42</v>
      </c>
      <c r="H23" s="5" t="s">
        <v>79</v>
      </c>
      <c r="I23" s="51">
        <v>2024</v>
      </c>
      <c r="J23" s="6">
        <v>79.989999999999995</v>
      </c>
      <c r="K23" s="51">
        <v>9</v>
      </c>
      <c r="L23" s="45">
        <f t="shared" si="0"/>
        <v>0.15</v>
      </c>
      <c r="M23" s="7">
        <v>15</v>
      </c>
      <c r="N23" s="15">
        <v>611.91999999999996</v>
      </c>
      <c r="O23" s="49">
        <v>1</v>
      </c>
      <c r="P23" s="5" t="s">
        <v>32</v>
      </c>
      <c r="Q23" s="2" t="str">
        <f>VLOOKUP($A23,Inventory!$A$2:$H$11,6,0)</f>
        <v>TechWorld Sp. z o.o.</v>
      </c>
    </row>
    <row r="24" spans="1:17" x14ac:dyDescent="0.3">
      <c r="A24" t="str">
        <f>LEFT(C24&amp;Orders_Data!D24,4)</f>
        <v>P004</v>
      </c>
      <c r="B24" s="2" t="s">
        <v>87</v>
      </c>
      <c r="C24" s="2" t="s">
        <v>49</v>
      </c>
      <c r="D24" s="2" t="s">
        <v>50</v>
      </c>
      <c r="E24" s="2" t="s">
        <v>41</v>
      </c>
      <c r="F24" s="2" t="s">
        <v>17</v>
      </c>
      <c r="G24" s="2" t="s">
        <v>71</v>
      </c>
      <c r="H24" s="2" t="s">
        <v>79</v>
      </c>
      <c r="I24" s="50">
        <v>2025</v>
      </c>
      <c r="J24" s="3">
        <v>399.99</v>
      </c>
      <c r="K24" s="50">
        <v>1</v>
      </c>
      <c r="L24" s="45">
        <f t="shared" si="0"/>
        <v>0</v>
      </c>
      <c r="M24" s="4">
        <v>0</v>
      </c>
      <c r="N24" s="14">
        <v>399.99</v>
      </c>
      <c r="O24" s="49">
        <v>1</v>
      </c>
      <c r="P24" s="2" t="s">
        <v>62</v>
      </c>
      <c r="Q24" s="2" t="str">
        <f>VLOOKUP($A24,Inventory!$A$2:$H$11,6,0)</f>
        <v>TechWorld Sp. z o.o.</v>
      </c>
    </row>
    <row r="25" spans="1:17" x14ac:dyDescent="0.3">
      <c r="A25" t="str">
        <f>LEFT(C25&amp;Orders_Data!D25,4)</f>
        <v>P009</v>
      </c>
      <c r="B25" s="5" t="s">
        <v>88</v>
      </c>
      <c r="C25" s="5" t="s">
        <v>59</v>
      </c>
      <c r="D25" s="5" t="s">
        <v>60</v>
      </c>
      <c r="E25" s="5" t="s">
        <v>41</v>
      </c>
      <c r="F25" s="5" t="s">
        <v>51</v>
      </c>
      <c r="G25" s="5" t="s">
        <v>89</v>
      </c>
      <c r="H25" s="5" t="s">
        <v>27</v>
      </c>
      <c r="I25" s="51">
        <v>2025</v>
      </c>
      <c r="J25" s="6">
        <v>199.99</v>
      </c>
      <c r="K25" s="51">
        <v>6</v>
      </c>
      <c r="L25" s="45">
        <f t="shared" si="0"/>
        <v>0.1</v>
      </c>
      <c r="M25" s="7">
        <v>10</v>
      </c>
      <c r="N25" s="15">
        <v>1079.95</v>
      </c>
      <c r="O25" s="49">
        <v>1</v>
      </c>
      <c r="P25" s="5" t="s">
        <v>32</v>
      </c>
      <c r="Q25" s="2" t="str">
        <f>VLOOKUP($A25,Inventory!$A$2:$H$11,6,0)</f>
        <v>TechWorld Sp. z o.o.</v>
      </c>
    </row>
    <row r="26" spans="1:17" x14ac:dyDescent="0.3">
      <c r="A26" t="str">
        <f>LEFT(C26&amp;Orders_Data!D26,4)</f>
        <v>P004</v>
      </c>
      <c r="B26" s="2" t="s">
        <v>90</v>
      </c>
      <c r="C26" s="2" t="s">
        <v>49</v>
      </c>
      <c r="D26" s="2" t="s">
        <v>50</v>
      </c>
      <c r="E26" s="2" t="s">
        <v>41</v>
      </c>
      <c r="F26" s="2" t="s">
        <v>25</v>
      </c>
      <c r="G26" s="2" t="s">
        <v>26</v>
      </c>
      <c r="H26" s="2" t="s">
        <v>91</v>
      </c>
      <c r="I26" s="50">
        <v>2025</v>
      </c>
      <c r="J26" s="3">
        <v>399.99</v>
      </c>
      <c r="K26" s="50">
        <v>7</v>
      </c>
      <c r="L26" s="45">
        <f t="shared" si="0"/>
        <v>0.15</v>
      </c>
      <c r="M26" s="4">
        <v>15</v>
      </c>
      <c r="N26" s="14">
        <v>2379.94</v>
      </c>
      <c r="O26" s="49">
        <v>1</v>
      </c>
      <c r="P26" s="2" t="s">
        <v>44</v>
      </c>
      <c r="Q26" s="2" t="str">
        <f>VLOOKUP($A26,Inventory!$A$2:$H$11,6,0)</f>
        <v>TechWorld Sp. z o.o.</v>
      </c>
    </row>
    <row r="27" spans="1:17" x14ac:dyDescent="0.3">
      <c r="A27" t="str">
        <f>LEFT(C27&amp;Orders_Data!D27,4)</f>
        <v>P002</v>
      </c>
      <c r="B27" s="5" t="s">
        <v>92</v>
      </c>
      <c r="C27" s="5" t="s">
        <v>22</v>
      </c>
      <c r="D27" s="5" t="s">
        <v>23</v>
      </c>
      <c r="E27" s="5" t="s">
        <v>24</v>
      </c>
      <c r="F27" s="5" t="s">
        <v>25</v>
      </c>
      <c r="G27" s="5" t="s">
        <v>42</v>
      </c>
      <c r="H27" s="5" t="s">
        <v>19</v>
      </c>
      <c r="I27" s="51">
        <v>2024</v>
      </c>
      <c r="J27" s="6">
        <v>29.99</v>
      </c>
      <c r="K27" s="51">
        <v>2</v>
      </c>
      <c r="L27" s="45">
        <f t="shared" si="0"/>
        <v>0.05</v>
      </c>
      <c r="M27" s="7">
        <v>5</v>
      </c>
      <c r="N27" s="15">
        <v>56.98</v>
      </c>
      <c r="O27" s="49">
        <v>1</v>
      </c>
      <c r="P27" s="5" t="s">
        <v>66</v>
      </c>
      <c r="Q27" s="2" t="str">
        <f>VLOOKUP($A27,Inventory!$A$2:$H$11,6,0)</f>
        <v>GadgetHub Polska</v>
      </c>
    </row>
    <row r="28" spans="1:17" x14ac:dyDescent="0.3">
      <c r="A28" t="str">
        <f>LEFT(C28&amp;Orders_Data!D28,4)</f>
        <v>P006</v>
      </c>
      <c r="B28" s="2" t="s">
        <v>93</v>
      </c>
      <c r="C28" s="2" t="s">
        <v>85</v>
      </c>
      <c r="D28" s="2" t="s">
        <v>86</v>
      </c>
      <c r="E28" s="2" t="s">
        <v>41</v>
      </c>
      <c r="F28" s="2" t="s">
        <v>29</v>
      </c>
      <c r="G28" s="2" t="s">
        <v>36</v>
      </c>
      <c r="H28" s="2" t="s">
        <v>94</v>
      </c>
      <c r="I28" s="50">
        <v>2024</v>
      </c>
      <c r="J28" s="3">
        <v>79.989999999999995</v>
      </c>
      <c r="K28" s="50">
        <v>13</v>
      </c>
      <c r="L28" s="45">
        <f t="shared" si="0"/>
        <v>0.05</v>
      </c>
      <c r="M28" s="4">
        <v>5</v>
      </c>
      <c r="N28" s="14">
        <v>987.88</v>
      </c>
      <c r="O28" s="49">
        <v>1</v>
      </c>
      <c r="P28" s="2" t="s">
        <v>20</v>
      </c>
      <c r="Q28" s="2" t="str">
        <f>VLOOKUP($A28,Inventory!$A$2:$H$11,6,0)</f>
        <v>TechWorld Sp. z o.o.</v>
      </c>
    </row>
    <row r="29" spans="1:17" x14ac:dyDescent="0.3">
      <c r="A29" t="str">
        <f>LEFT(C29&amp;Orders_Data!D29,4)</f>
        <v>P005</v>
      </c>
      <c r="B29" s="5" t="s">
        <v>95</v>
      </c>
      <c r="C29" s="5" t="s">
        <v>76</v>
      </c>
      <c r="D29" s="5" t="s">
        <v>77</v>
      </c>
      <c r="E29" s="5" t="s">
        <v>24</v>
      </c>
      <c r="F29" s="5" t="s">
        <v>17</v>
      </c>
      <c r="G29" s="5" t="s">
        <v>71</v>
      </c>
      <c r="H29" s="5" t="s">
        <v>56</v>
      </c>
      <c r="I29" s="51">
        <v>2024</v>
      </c>
      <c r="J29" s="6">
        <v>89.99</v>
      </c>
      <c r="K29" s="51">
        <v>15</v>
      </c>
      <c r="L29" s="45">
        <f t="shared" si="0"/>
        <v>0.2</v>
      </c>
      <c r="M29" s="7">
        <v>20</v>
      </c>
      <c r="N29" s="15">
        <v>1079.8800000000001</v>
      </c>
      <c r="O29" s="49">
        <v>1</v>
      </c>
      <c r="P29" s="5" t="s">
        <v>32</v>
      </c>
      <c r="Q29" s="2" t="str">
        <f>VLOOKUP($A29,Inventory!$A$2:$H$11,6,0)</f>
        <v>GadgetHub Polska</v>
      </c>
    </row>
    <row r="30" spans="1:17" x14ac:dyDescent="0.3">
      <c r="A30" t="str">
        <f>LEFT(C30&amp;Orders_Data!D30,4)</f>
        <v>P007</v>
      </c>
      <c r="B30" s="2" t="s">
        <v>96</v>
      </c>
      <c r="C30" s="2" t="s">
        <v>14</v>
      </c>
      <c r="D30" s="2" t="s">
        <v>15</v>
      </c>
      <c r="E30" s="2" t="s">
        <v>16</v>
      </c>
      <c r="F30" s="2" t="s">
        <v>29</v>
      </c>
      <c r="G30" s="2" t="s">
        <v>30</v>
      </c>
      <c r="H30" s="2" t="s">
        <v>31</v>
      </c>
      <c r="I30" s="50">
        <v>2025</v>
      </c>
      <c r="J30" s="3">
        <v>249.99</v>
      </c>
      <c r="K30" s="50">
        <v>7</v>
      </c>
      <c r="L30" s="45">
        <f t="shared" si="0"/>
        <v>0</v>
      </c>
      <c r="M30" s="4">
        <v>0</v>
      </c>
      <c r="N30" s="14">
        <v>1749.93</v>
      </c>
      <c r="O30" s="49">
        <v>1</v>
      </c>
      <c r="P30" s="2" t="s">
        <v>32</v>
      </c>
      <c r="Q30" s="2" t="str">
        <f>VLOOKUP($A30,Inventory!$A$2:$H$11,6,0)</f>
        <v>ErgoOffice SA</v>
      </c>
    </row>
    <row r="31" spans="1:17" x14ac:dyDescent="0.3">
      <c r="A31" t="str">
        <f>LEFT(C31&amp;Orders_Data!D31,4)</f>
        <v>P010</v>
      </c>
      <c r="B31" s="5" t="s">
        <v>97</v>
      </c>
      <c r="C31" s="5" t="s">
        <v>82</v>
      </c>
      <c r="D31" s="5" t="s">
        <v>83</v>
      </c>
      <c r="E31" s="5" t="s">
        <v>16</v>
      </c>
      <c r="F31" s="5" t="s">
        <v>17</v>
      </c>
      <c r="G31" s="5" t="s">
        <v>18</v>
      </c>
      <c r="H31" s="5" t="s">
        <v>91</v>
      </c>
      <c r="I31" s="51">
        <v>2025</v>
      </c>
      <c r="J31" s="6">
        <v>39.99</v>
      </c>
      <c r="K31" s="51">
        <v>6</v>
      </c>
      <c r="L31" s="45">
        <f t="shared" si="0"/>
        <v>0</v>
      </c>
      <c r="M31" s="7">
        <v>0</v>
      </c>
      <c r="N31" s="15">
        <v>239.94</v>
      </c>
      <c r="O31" s="49">
        <v>1</v>
      </c>
      <c r="P31" s="5" t="s">
        <v>62</v>
      </c>
      <c r="Q31" s="2" t="str">
        <f>VLOOKUP($A31,Inventory!$A$2:$H$11,6,0)</f>
        <v>ErgoOffice SA</v>
      </c>
    </row>
    <row r="32" spans="1:17" x14ac:dyDescent="0.3">
      <c r="A32" t="str">
        <f>LEFT(C32&amp;Orders_Data!D32,4)</f>
        <v>P004</v>
      </c>
      <c r="B32" s="2" t="s">
        <v>98</v>
      </c>
      <c r="C32" s="2" t="s">
        <v>49</v>
      </c>
      <c r="D32" s="2" t="s">
        <v>50</v>
      </c>
      <c r="E32" s="2" t="s">
        <v>41</v>
      </c>
      <c r="F32" s="2" t="s">
        <v>17</v>
      </c>
      <c r="G32" s="2" t="s">
        <v>18</v>
      </c>
      <c r="H32" s="2" t="s">
        <v>37</v>
      </c>
      <c r="I32" s="50">
        <v>2025</v>
      </c>
      <c r="J32" s="3">
        <v>399.99</v>
      </c>
      <c r="K32" s="50">
        <v>16</v>
      </c>
      <c r="L32" s="45">
        <f t="shared" si="0"/>
        <v>0</v>
      </c>
      <c r="M32" s="4">
        <v>0</v>
      </c>
      <c r="N32" s="14">
        <v>6399.84</v>
      </c>
      <c r="O32" s="49">
        <v>1</v>
      </c>
      <c r="P32" s="2" t="s">
        <v>66</v>
      </c>
      <c r="Q32" s="2" t="str">
        <f>VLOOKUP($A32,Inventory!$A$2:$H$11,6,0)</f>
        <v>TechWorld Sp. z o.o.</v>
      </c>
    </row>
    <row r="33" spans="1:17" x14ac:dyDescent="0.3">
      <c r="A33" t="str">
        <f>LEFT(C33&amp;Orders_Data!D33,4)</f>
        <v>P001</v>
      </c>
      <c r="B33" s="5" t="s">
        <v>99</v>
      </c>
      <c r="C33" s="5" t="s">
        <v>39</v>
      </c>
      <c r="D33" s="5" t="s">
        <v>40</v>
      </c>
      <c r="E33" s="5" t="s">
        <v>41</v>
      </c>
      <c r="F33" s="5" t="s">
        <v>29</v>
      </c>
      <c r="G33" s="5" t="s">
        <v>36</v>
      </c>
      <c r="H33" s="5" t="s">
        <v>79</v>
      </c>
      <c r="I33" s="51">
        <v>2024</v>
      </c>
      <c r="J33" s="6">
        <v>1299.99</v>
      </c>
      <c r="K33" s="51">
        <v>19</v>
      </c>
      <c r="L33" s="45">
        <f t="shared" si="0"/>
        <v>0</v>
      </c>
      <c r="M33" s="7">
        <v>0</v>
      </c>
      <c r="N33" s="15">
        <v>24699.81</v>
      </c>
      <c r="O33" s="49">
        <v>1</v>
      </c>
      <c r="P33" s="5" t="s">
        <v>32</v>
      </c>
      <c r="Q33" s="2" t="str">
        <f>VLOOKUP($A33,Inventory!$A$2:$H$11,6,0)</f>
        <v>TechWorld Sp. z o.o.</v>
      </c>
    </row>
    <row r="34" spans="1:17" x14ac:dyDescent="0.3">
      <c r="A34" t="str">
        <f>LEFT(C34&amp;Orders_Data!D34,4)</f>
        <v>P005</v>
      </c>
      <c r="B34" s="2" t="s">
        <v>100</v>
      </c>
      <c r="C34" s="2" t="s">
        <v>76</v>
      </c>
      <c r="D34" s="2" t="s">
        <v>77</v>
      </c>
      <c r="E34" s="2" t="s">
        <v>24</v>
      </c>
      <c r="F34" s="2" t="s">
        <v>51</v>
      </c>
      <c r="G34" s="2" t="s">
        <v>89</v>
      </c>
      <c r="H34" s="2" t="s">
        <v>19</v>
      </c>
      <c r="I34" s="50">
        <v>2024</v>
      </c>
      <c r="J34" s="3">
        <v>89.99</v>
      </c>
      <c r="K34" s="50">
        <v>13</v>
      </c>
      <c r="L34" s="45">
        <f t="shared" si="0"/>
        <v>0</v>
      </c>
      <c r="M34" s="4">
        <v>0</v>
      </c>
      <c r="N34" s="14">
        <v>1169.8699999999999</v>
      </c>
      <c r="O34" s="49">
        <v>1</v>
      </c>
      <c r="P34" s="2" t="s">
        <v>44</v>
      </c>
      <c r="Q34" s="2" t="str">
        <f>VLOOKUP($A34,Inventory!$A$2:$H$11,6,0)</f>
        <v>GadgetHub Polska</v>
      </c>
    </row>
    <row r="35" spans="1:17" x14ac:dyDescent="0.3">
      <c r="A35" t="str">
        <f>LEFT(C35&amp;Orders_Data!D35,4)</f>
        <v>P006</v>
      </c>
      <c r="B35" s="5" t="s">
        <v>101</v>
      </c>
      <c r="C35" s="5" t="s">
        <v>85</v>
      </c>
      <c r="D35" s="5" t="s">
        <v>86</v>
      </c>
      <c r="E35" s="5" t="s">
        <v>41</v>
      </c>
      <c r="F35" s="5" t="s">
        <v>29</v>
      </c>
      <c r="G35" s="5" t="s">
        <v>30</v>
      </c>
      <c r="H35" s="5" t="s">
        <v>27</v>
      </c>
      <c r="I35" s="51">
        <v>2025</v>
      </c>
      <c r="J35" s="6">
        <v>79.989999999999995</v>
      </c>
      <c r="K35" s="51">
        <v>6</v>
      </c>
      <c r="L35" s="45">
        <f t="shared" si="0"/>
        <v>0.2</v>
      </c>
      <c r="M35" s="7">
        <v>20</v>
      </c>
      <c r="N35" s="15">
        <v>383.95</v>
      </c>
      <c r="O35" s="49">
        <v>1</v>
      </c>
      <c r="P35" s="5" t="s">
        <v>32</v>
      </c>
      <c r="Q35" s="2" t="str">
        <f>VLOOKUP($A35,Inventory!$A$2:$H$11,6,0)</f>
        <v>TechWorld Sp. z o.o.</v>
      </c>
    </row>
    <row r="36" spans="1:17" x14ac:dyDescent="0.3">
      <c r="A36" t="str">
        <f>LEFT(C36&amp;Orders_Data!D36,4)</f>
        <v>P001</v>
      </c>
      <c r="B36" s="2" t="s">
        <v>102</v>
      </c>
      <c r="C36" s="2" t="s">
        <v>39</v>
      </c>
      <c r="D36" s="2" t="s">
        <v>40</v>
      </c>
      <c r="E36" s="2" t="s">
        <v>41</v>
      </c>
      <c r="F36" s="2" t="s">
        <v>17</v>
      </c>
      <c r="G36" s="2" t="s">
        <v>18</v>
      </c>
      <c r="H36" s="2" t="s">
        <v>94</v>
      </c>
      <c r="I36" s="50">
        <v>2024</v>
      </c>
      <c r="J36" s="3">
        <v>1299.99</v>
      </c>
      <c r="K36" s="50">
        <v>16</v>
      </c>
      <c r="L36" s="45">
        <f t="shared" si="0"/>
        <v>0</v>
      </c>
      <c r="M36" s="4">
        <v>0</v>
      </c>
      <c r="N36" s="14">
        <v>20799.84</v>
      </c>
      <c r="O36" s="49">
        <v>1</v>
      </c>
      <c r="P36" s="2" t="s">
        <v>66</v>
      </c>
      <c r="Q36" s="2" t="str">
        <f>VLOOKUP($A36,Inventory!$A$2:$H$11,6,0)</f>
        <v>TechWorld Sp. z o.o.</v>
      </c>
    </row>
    <row r="37" spans="1:17" x14ac:dyDescent="0.3">
      <c r="A37" t="str">
        <f>LEFT(C37&amp;Orders_Data!D37,4)</f>
        <v>P005</v>
      </c>
      <c r="B37" s="5" t="s">
        <v>103</v>
      </c>
      <c r="C37" s="5" t="s">
        <v>76</v>
      </c>
      <c r="D37" s="5" t="s">
        <v>77</v>
      </c>
      <c r="E37" s="5" t="s">
        <v>24</v>
      </c>
      <c r="F37" s="5" t="s">
        <v>25</v>
      </c>
      <c r="G37" s="5" t="s">
        <v>42</v>
      </c>
      <c r="H37" s="5" t="s">
        <v>27</v>
      </c>
      <c r="I37" s="51">
        <v>2024</v>
      </c>
      <c r="J37" s="6">
        <v>89.99</v>
      </c>
      <c r="K37" s="51">
        <v>18</v>
      </c>
      <c r="L37" s="45">
        <f t="shared" si="0"/>
        <v>0</v>
      </c>
      <c r="M37" s="7">
        <v>0</v>
      </c>
      <c r="N37" s="15">
        <v>1619.82</v>
      </c>
      <c r="O37" s="49">
        <v>1</v>
      </c>
      <c r="P37" s="5" t="s">
        <v>66</v>
      </c>
      <c r="Q37" s="2" t="str">
        <f>VLOOKUP($A37,Inventory!$A$2:$H$11,6,0)</f>
        <v>GadgetHub Polska</v>
      </c>
    </row>
    <row r="38" spans="1:17" x14ac:dyDescent="0.3">
      <c r="A38" t="str">
        <f>LEFT(C38&amp;Orders_Data!D38,4)</f>
        <v>P009</v>
      </c>
      <c r="B38" s="2" t="s">
        <v>104</v>
      </c>
      <c r="C38" s="2" t="s">
        <v>59</v>
      </c>
      <c r="D38" s="2" t="s">
        <v>60</v>
      </c>
      <c r="E38" s="2" t="s">
        <v>41</v>
      </c>
      <c r="F38" s="2" t="s">
        <v>54</v>
      </c>
      <c r="G38" s="2" t="s">
        <v>55</v>
      </c>
      <c r="H38" s="2" t="s">
        <v>64</v>
      </c>
      <c r="I38" s="50">
        <v>2024</v>
      </c>
      <c r="J38" s="3">
        <v>199.99</v>
      </c>
      <c r="K38" s="50">
        <v>5</v>
      </c>
      <c r="L38" s="45">
        <f t="shared" si="0"/>
        <v>0</v>
      </c>
      <c r="M38" s="4">
        <v>0</v>
      </c>
      <c r="N38" s="14">
        <v>999.95</v>
      </c>
      <c r="O38" s="49">
        <v>1</v>
      </c>
      <c r="P38" s="2" t="s">
        <v>62</v>
      </c>
      <c r="Q38" s="2" t="str">
        <f>VLOOKUP($A38,Inventory!$A$2:$H$11,6,0)</f>
        <v>TechWorld Sp. z o.o.</v>
      </c>
    </row>
    <row r="39" spans="1:17" x14ac:dyDescent="0.3">
      <c r="A39" t="str">
        <f>LEFT(C39&amp;Orders_Data!D39,4)</f>
        <v>P002</v>
      </c>
      <c r="B39" s="5" t="s">
        <v>105</v>
      </c>
      <c r="C39" s="5" t="s">
        <v>22</v>
      </c>
      <c r="D39" s="5" t="s">
        <v>23</v>
      </c>
      <c r="E39" s="5" t="s">
        <v>24</v>
      </c>
      <c r="F39" s="5" t="s">
        <v>54</v>
      </c>
      <c r="G39" s="5" t="s">
        <v>78</v>
      </c>
      <c r="H39" s="5" t="s">
        <v>56</v>
      </c>
      <c r="I39" s="51">
        <v>2025</v>
      </c>
      <c r="J39" s="6">
        <v>29.99</v>
      </c>
      <c r="K39" s="51">
        <v>8</v>
      </c>
      <c r="L39" s="45">
        <f t="shared" si="0"/>
        <v>0.1</v>
      </c>
      <c r="M39" s="7">
        <v>10</v>
      </c>
      <c r="N39" s="15">
        <v>215.93</v>
      </c>
      <c r="O39" s="49">
        <v>1</v>
      </c>
      <c r="P39" s="5" t="s">
        <v>62</v>
      </c>
      <c r="Q39" s="2" t="str">
        <f>VLOOKUP($A39,Inventory!$A$2:$H$11,6,0)</f>
        <v>GadgetHub Polska</v>
      </c>
    </row>
    <row r="40" spans="1:17" x14ac:dyDescent="0.3">
      <c r="A40" t="str">
        <f>LEFT(C40&amp;Orders_Data!D40,4)</f>
        <v>P010</v>
      </c>
      <c r="B40" s="2" t="s">
        <v>106</v>
      </c>
      <c r="C40" s="2" t="s">
        <v>82</v>
      </c>
      <c r="D40" s="2" t="s">
        <v>83</v>
      </c>
      <c r="E40" s="2" t="s">
        <v>16</v>
      </c>
      <c r="F40" s="2" t="s">
        <v>51</v>
      </c>
      <c r="G40" s="2" t="s">
        <v>52</v>
      </c>
      <c r="H40" s="2" t="s">
        <v>61</v>
      </c>
      <c r="I40" s="50">
        <v>2025</v>
      </c>
      <c r="J40" s="3">
        <v>39.99</v>
      </c>
      <c r="K40" s="50">
        <v>14</v>
      </c>
      <c r="L40" s="45">
        <f t="shared" si="0"/>
        <v>0</v>
      </c>
      <c r="M40" s="4">
        <v>0</v>
      </c>
      <c r="N40" s="14">
        <v>559.86</v>
      </c>
      <c r="O40" s="49">
        <v>1</v>
      </c>
      <c r="P40" s="2" t="s">
        <v>66</v>
      </c>
      <c r="Q40" s="2" t="str">
        <f>VLOOKUP($A40,Inventory!$A$2:$H$11,6,0)</f>
        <v>ErgoOffice SA</v>
      </c>
    </row>
    <row r="41" spans="1:17" x14ac:dyDescent="0.3">
      <c r="A41" t="str">
        <f>LEFT(C41&amp;Orders_Data!D41,4)</f>
        <v>P003</v>
      </c>
      <c r="B41" s="5" t="s">
        <v>107</v>
      </c>
      <c r="C41" s="5" t="s">
        <v>34</v>
      </c>
      <c r="D41" s="5" t="s">
        <v>35</v>
      </c>
      <c r="E41" s="5" t="s">
        <v>24</v>
      </c>
      <c r="F41" s="5" t="s">
        <v>54</v>
      </c>
      <c r="G41" s="5" t="s">
        <v>55</v>
      </c>
      <c r="H41" s="5" t="s">
        <v>91</v>
      </c>
      <c r="I41" s="51">
        <v>2024</v>
      </c>
      <c r="J41" s="6">
        <v>49.99</v>
      </c>
      <c r="K41" s="51">
        <v>8</v>
      </c>
      <c r="L41" s="45">
        <f t="shared" si="0"/>
        <v>0.05</v>
      </c>
      <c r="M41" s="7">
        <v>5</v>
      </c>
      <c r="N41" s="15">
        <v>379.92</v>
      </c>
      <c r="O41" s="49">
        <v>1</v>
      </c>
      <c r="P41" s="5" t="s">
        <v>44</v>
      </c>
      <c r="Q41" s="2" t="str">
        <f>VLOOKUP($A41,Inventory!$A$2:$H$11,6,0)</f>
        <v>GadgetHub Polska</v>
      </c>
    </row>
    <row r="42" spans="1:17" x14ac:dyDescent="0.3">
      <c r="A42" t="str">
        <f>LEFT(C42&amp;Orders_Data!D42,4)</f>
        <v>P004</v>
      </c>
      <c r="B42" s="2" t="s">
        <v>108</v>
      </c>
      <c r="C42" s="2" t="s">
        <v>49</v>
      </c>
      <c r="D42" s="2" t="s">
        <v>50</v>
      </c>
      <c r="E42" s="2" t="s">
        <v>41</v>
      </c>
      <c r="F42" s="2" t="s">
        <v>29</v>
      </c>
      <c r="G42" s="2" t="s">
        <v>36</v>
      </c>
      <c r="H42" s="2" t="s">
        <v>64</v>
      </c>
      <c r="I42" s="50">
        <v>2024</v>
      </c>
      <c r="J42" s="3">
        <v>399.99</v>
      </c>
      <c r="K42" s="50">
        <v>6</v>
      </c>
      <c r="L42" s="45">
        <f t="shared" si="0"/>
        <v>0.2</v>
      </c>
      <c r="M42" s="4">
        <v>20</v>
      </c>
      <c r="N42" s="14">
        <v>1919.95</v>
      </c>
      <c r="O42" s="49">
        <v>1</v>
      </c>
      <c r="P42" s="2" t="s">
        <v>20</v>
      </c>
      <c r="Q42" s="2" t="str">
        <f>VLOOKUP($A42,Inventory!$A$2:$H$11,6,0)</f>
        <v>TechWorld Sp. z o.o.</v>
      </c>
    </row>
    <row r="43" spans="1:17" x14ac:dyDescent="0.3">
      <c r="A43" t="str">
        <f>LEFT(C43&amp;Orders_Data!D43,4)</f>
        <v>P008</v>
      </c>
      <c r="B43" s="5" t="s">
        <v>109</v>
      </c>
      <c r="C43" s="5" t="s">
        <v>46</v>
      </c>
      <c r="D43" s="5" t="s">
        <v>47</v>
      </c>
      <c r="E43" s="5" t="s">
        <v>16</v>
      </c>
      <c r="F43" s="5" t="s">
        <v>25</v>
      </c>
      <c r="G43" s="5" t="s">
        <v>26</v>
      </c>
      <c r="H43" s="5" t="s">
        <v>31</v>
      </c>
      <c r="I43" s="51">
        <v>2024</v>
      </c>
      <c r="J43" s="6">
        <v>499.99</v>
      </c>
      <c r="K43" s="51">
        <v>19</v>
      </c>
      <c r="L43" s="45">
        <f t="shared" si="0"/>
        <v>0.05</v>
      </c>
      <c r="M43" s="7">
        <v>5</v>
      </c>
      <c r="N43" s="15">
        <v>9024.82</v>
      </c>
      <c r="O43" s="49">
        <v>1</v>
      </c>
      <c r="P43" s="5" t="s">
        <v>44</v>
      </c>
      <c r="Q43" s="2" t="str">
        <f>VLOOKUP($A43,Inventory!$A$2:$H$11,6,0)</f>
        <v>ErgoOffice SA</v>
      </c>
    </row>
    <row r="44" spans="1:17" x14ac:dyDescent="0.3">
      <c r="A44" t="str">
        <f>LEFT(C44&amp;Orders_Data!D44,4)</f>
        <v>P005</v>
      </c>
      <c r="B44" s="2" t="s">
        <v>110</v>
      </c>
      <c r="C44" s="2" t="s">
        <v>76</v>
      </c>
      <c r="D44" s="2" t="s">
        <v>77</v>
      </c>
      <c r="E44" s="2" t="s">
        <v>24</v>
      </c>
      <c r="F44" s="2" t="s">
        <v>51</v>
      </c>
      <c r="G44" s="2" t="s">
        <v>89</v>
      </c>
      <c r="H44" s="2" t="s">
        <v>61</v>
      </c>
      <c r="I44" s="50">
        <v>2025</v>
      </c>
      <c r="J44" s="3">
        <v>89.99</v>
      </c>
      <c r="K44" s="50">
        <v>18</v>
      </c>
      <c r="L44" s="45">
        <f t="shared" si="0"/>
        <v>0</v>
      </c>
      <c r="M44" s="4">
        <v>0</v>
      </c>
      <c r="N44" s="14">
        <v>1619.82</v>
      </c>
      <c r="O44" s="49">
        <v>1</v>
      </c>
      <c r="P44" s="2" t="s">
        <v>66</v>
      </c>
      <c r="Q44" s="2" t="str">
        <f>VLOOKUP($A44,Inventory!$A$2:$H$11,6,0)</f>
        <v>GadgetHub Polska</v>
      </c>
    </row>
    <row r="45" spans="1:17" x14ac:dyDescent="0.3">
      <c r="A45" t="str">
        <f>LEFT(C45&amp;Orders_Data!D45,4)</f>
        <v>P002</v>
      </c>
      <c r="B45" s="5" t="s">
        <v>111</v>
      </c>
      <c r="C45" s="5" t="s">
        <v>22</v>
      </c>
      <c r="D45" s="5" t="s">
        <v>23</v>
      </c>
      <c r="E45" s="5" t="s">
        <v>24</v>
      </c>
      <c r="F45" s="5" t="s">
        <v>17</v>
      </c>
      <c r="G45" s="5" t="s">
        <v>71</v>
      </c>
      <c r="H45" s="5" t="s">
        <v>37</v>
      </c>
      <c r="I45" s="51">
        <v>2024</v>
      </c>
      <c r="J45" s="6">
        <v>29.99</v>
      </c>
      <c r="K45" s="51">
        <v>12</v>
      </c>
      <c r="L45" s="45">
        <f t="shared" si="0"/>
        <v>0</v>
      </c>
      <c r="M45" s="7">
        <v>0</v>
      </c>
      <c r="N45" s="15">
        <v>359.88</v>
      </c>
      <c r="O45" s="49">
        <v>1</v>
      </c>
      <c r="P45" s="5" t="s">
        <v>62</v>
      </c>
      <c r="Q45" s="2" t="str">
        <f>VLOOKUP($A45,Inventory!$A$2:$H$11,6,0)</f>
        <v>GadgetHub Polska</v>
      </c>
    </row>
    <row r="46" spans="1:17" x14ac:dyDescent="0.3">
      <c r="A46" t="str">
        <f>LEFT(C46&amp;Orders_Data!D46,4)</f>
        <v>P006</v>
      </c>
      <c r="B46" s="2" t="s">
        <v>112</v>
      </c>
      <c r="C46" s="2" t="s">
        <v>85</v>
      </c>
      <c r="D46" s="2" t="s">
        <v>86</v>
      </c>
      <c r="E46" s="2" t="s">
        <v>41</v>
      </c>
      <c r="F46" s="2" t="s">
        <v>25</v>
      </c>
      <c r="G46" s="2" t="s">
        <v>26</v>
      </c>
      <c r="H46" s="2" t="s">
        <v>61</v>
      </c>
      <c r="I46" s="50">
        <v>2025</v>
      </c>
      <c r="J46" s="3">
        <v>79.989999999999995</v>
      </c>
      <c r="K46" s="50">
        <v>9</v>
      </c>
      <c r="L46" s="45">
        <f t="shared" si="0"/>
        <v>0.1</v>
      </c>
      <c r="M46" s="4">
        <v>10</v>
      </c>
      <c r="N46" s="14">
        <v>647.91999999999996</v>
      </c>
      <c r="O46" s="49">
        <v>1</v>
      </c>
      <c r="P46" s="2" t="s">
        <v>20</v>
      </c>
      <c r="Q46" s="2" t="str">
        <f>VLOOKUP($A46,Inventory!$A$2:$H$11,6,0)</f>
        <v>TechWorld Sp. z o.o.</v>
      </c>
    </row>
    <row r="47" spans="1:17" x14ac:dyDescent="0.3">
      <c r="A47" t="str">
        <f>LEFT(C47&amp;Orders_Data!D47,4)</f>
        <v>P009</v>
      </c>
      <c r="B47" s="5" t="s">
        <v>113</v>
      </c>
      <c r="C47" s="5" t="s">
        <v>59</v>
      </c>
      <c r="D47" s="5" t="s">
        <v>60</v>
      </c>
      <c r="E47" s="5" t="s">
        <v>41</v>
      </c>
      <c r="F47" s="5" t="s">
        <v>51</v>
      </c>
      <c r="G47" s="5" t="s">
        <v>89</v>
      </c>
      <c r="H47" s="5" t="s">
        <v>73</v>
      </c>
      <c r="I47" s="51">
        <v>2025</v>
      </c>
      <c r="J47" s="6">
        <v>199.99</v>
      </c>
      <c r="K47" s="51">
        <v>14</v>
      </c>
      <c r="L47" s="45">
        <f t="shared" si="0"/>
        <v>0.1</v>
      </c>
      <c r="M47" s="7">
        <v>10</v>
      </c>
      <c r="N47" s="15">
        <v>2519.87</v>
      </c>
      <c r="O47" s="49">
        <v>1</v>
      </c>
      <c r="P47" s="5" t="s">
        <v>20</v>
      </c>
      <c r="Q47" s="2" t="str">
        <f>VLOOKUP($A47,Inventory!$A$2:$H$11,6,0)</f>
        <v>TechWorld Sp. z o.o.</v>
      </c>
    </row>
    <row r="48" spans="1:17" x14ac:dyDescent="0.3">
      <c r="A48" t="str">
        <f>LEFT(C48&amp;Orders_Data!D48,4)</f>
        <v>P003</v>
      </c>
      <c r="B48" s="2" t="s">
        <v>114</v>
      </c>
      <c r="C48" s="2" t="s">
        <v>34</v>
      </c>
      <c r="D48" s="2" t="s">
        <v>35</v>
      </c>
      <c r="E48" s="2" t="s">
        <v>24</v>
      </c>
      <c r="F48" s="2" t="s">
        <v>29</v>
      </c>
      <c r="G48" s="2" t="s">
        <v>36</v>
      </c>
      <c r="H48" s="2" t="s">
        <v>61</v>
      </c>
      <c r="I48" s="50">
        <v>2024</v>
      </c>
      <c r="J48" s="3">
        <v>49.99</v>
      </c>
      <c r="K48" s="50">
        <v>8</v>
      </c>
      <c r="L48" s="45">
        <f t="shared" si="0"/>
        <v>0.15</v>
      </c>
      <c r="M48" s="4">
        <v>15</v>
      </c>
      <c r="N48" s="14">
        <v>339.93</v>
      </c>
      <c r="O48" s="49">
        <v>1</v>
      </c>
      <c r="P48" s="2" t="s">
        <v>66</v>
      </c>
      <c r="Q48" s="2" t="str">
        <f>VLOOKUP($A48,Inventory!$A$2:$H$11,6,0)</f>
        <v>GadgetHub Polska</v>
      </c>
    </row>
    <row r="49" spans="1:17" x14ac:dyDescent="0.3">
      <c r="A49" t="str">
        <f>LEFT(C49&amp;Orders_Data!D49,4)</f>
        <v>P003</v>
      </c>
      <c r="B49" s="5" t="s">
        <v>115</v>
      </c>
      <c r="C49" s="5" t="s">
        <v>34</v>
      </c>
      <c r="D49" s="5" t="s">
        <v>35</v>
      </c>
      <c r="E49" s="5" t="s">
        <v>24</v>
      </c>
      <c r="F49" s="5" t="s">
        <v>29</v>
      </c>
      <c r="G49" s="5" t="s">
        <v>30</v>
      </c>
      <c r="H49" s="5" t="s">
        <v>43</v>
      </c>
      <c r="I49" s="51">
        <v>2024</v>
      </c>
      <c r="J49" s="6">
        <v>49.99</v>
      </c>
      <c r="K49" s="51">
        <v>19</v>
      </c>
      <c r="L49" s="45">
        <f t="shared" si="0"/>
        <v>0</v>
      </c>
      <c r="M49" s="7">
        <v>0</v>
      </c>
      <c r="N49" s="15">
        <v>949.81</v>
      </c>
      <c r="O49" s="49">
        <v>1</v>
      </c>
      <c r="P49" s="5" t="s">
        <v>20</v>
      </c>
      <c r="Q49" s="2" t="str">
        <f>VLOOKUP($A49,Inventory!$A$2:$H$11,6,0)</f>
        <v>GadgetHub Polska</v>
      </c>
    </row>
    <row r="50" spans="1:17" x14ac:dyDescent="0.3">
      <c r="A50" t="str">
        <f>LEFT(C50&amp;Orders_Data!D50,4)</f>
        <v>P003</v>
      </c>
      <c r="B50" s="2" t="s">
        <v>116</v>
      </c>
      <c r="C50" s="2" t="s">
        <v>34</v>
      </c>
      <c r="D50" s="2" t="s">
        <v>35</v>
      </c>
      <c r="E50" s="2" t="s">
        <v>24</v>
      </c>
      <c r="F50" s="2" t="s">
        <v>51</v>
      </c>
      <c r="G50" s="2" t="s">
        <v>52</v>
      </c>
      <c r="H50" s="2" t="s">
        <v>61</v>
      </c>
      <c r="I50" s="50">
        <v>2025</v>
      </c>
      <c r="J50" s="3">
        <v>49.99</v>
      </c>
      <c r="K50" s="50">
        <v>6</v>
      </c>
      <c r="L50" s="45">
        <f t="shared" si="0"/>
        <v>0.1</v>
      </c>
      <c r="M50" s="4">
        <v>10</v>
      </c>
      <c r="N50" s="14">
        <v>269.95</v>
      </c>
      <c r="O50" s="49">
        <v>1</v>
      </c>
      <c r="P50" s="2" t="s">
        <v>32</v>
      </c>
      <c r="Q50" s="2" t="str">
        <f>VLOOKUP($A50,Inventory!$A$2:$H$11,6,0)</f>
        <v>GadgetHub Polska</v>
      </c>
    </row>
    <row r="51" spans="1:17" x14ac:dyDescent="0.3">
      <c r="A51" t="str">
        <f>LEFT(C51&amp;Orders_Data!D51,4)</f>
        <v>P003</v>
      </c>
      <c r="B51" s="5" t="s">
        <v>117</v>
      </c>
      <c r="C51" s="5" t="s">
        <v>34</v>
      </c>
      <c r="D51" s="5" t="s">
        <v>35</v>
      </c>
      <c r="E51" s="5" t="s">
        <v>24</v>
      </c>
      <c r="F51" s="5" t="s">
        <v>54</v>
      </c>
      <c r="G51" s="5" t="s">
        <v>55</v>
      </c>
      <c r="H51" s="5" t="s">
        <v>27</v>
      </c>
      <c r="I51" s="51">
        <v>2025</v>
      </c>
      <c r="J51" s="6">
        <v>49.99</v>
      </c>
      <c r="K51" s="51">
        <v>15</v>
      </c>
      <c r="L51" s="45">
        <f t="shared" si="0"/>
        <v>0</v>
      </c>
      <c r="M51" s="7">
        <v>0</v>
      </c>
      <c r="N51" s="15">
        <v>749.85</v>
      </c>
      <c r="O51" s="49">
        <v>1</v>
      </c>
      <c r="P51" s="5" t="s">
        <v>20</v>
      </c>
      <c r="Q51" s="2" t="str">
        <f>VLOOKUP($A51,Inventory!$A$2:$H$11,6,0)</f>
        <v>GadgetHub Polska</v>
      </c>
    </row>
    <row r="52" spans="1:17" x14ac:dyDescent="0.3">
      <c r="A52" t="str">
        <f>LEFT(C52&amp;Orders_Data!D52,4)</f>
        <v>P010</v>
      </c>
      <c r="B52" s="2" t="s">
        <v>118</v>
      </c>
      <c r="C52" s="2" t="s">
        <v>82</v>
      </c>
      <c r="D52" s="2" t="s">
        <v>83</v>
      </c>
      <c r="E52" s="2" t="s">
        <v>16</v>
      </c>
      <c r="F52" s="2" t="s">
        <v>51</v>
      </c>
      <c r="G52" s="2" t="s">
        <v>52</v>
      </c>
      <c r="H52" s="2" t="s">
        <v>43</v>
      </c>
      <c r="I52" s="50">
        <v>2024</v>
      </c>
      <c r="J52" s="3">
        <v>39.99</v>
      </c>
      <c r="K52" s="50">
        <v>16</v>
      </c>
      <c r="L52" s="45">
        <f t="shared" si="0"/>
        <v>0.1</v>
      </c>
      <c r="M52" s="4">
        <v>10</v>
      </c>
      <c r="N52" s="14">
        <v>575.86</v>
      </c>
      <c r="O52" s="49">
        <v>1</v>
      </c>
      <c r="P52" s="2" t="s">
        <v>44</v>
      </c>
      <c r="Q52" s="2" t="str">
        <f>VLOOKUP($A52,Inventory!$A$2:$H$11,6,0)</f>
        <v>ErgoOffice SA</v>
      </c>
    </row>
    <row r="53" spans="1:17" x14ac:dyDescent="0.3">
      <c r="A53" t="str">
        <f>LEFT(C53&amp;Orders_Data!D53,4)</f>
        <v>P006</v>
      </c>
      <c r="B53" s="5" t="s">
        <v>119</v>
      </c>
      <c r="C53" s="5" t="s">
        <v>85</v>
      </c>
      <c r="D53" s="5" t="s">
        <v>86</v>
      </c>
      <c r="E53" s="5" t="s">
        <v>41</v>
      </c>
      <c r="F53" s="5" t="s">
        <v>29</v>
      </c>
      <c r="G53" s="5" t="s">
        <v>30</v>
      </c>
      <c r="H53" s="5" t="s">
        <v>94</v>
      </c>
      <c r="I53" s="51">
        <v>2025</v>
      </c>
      <c r="J53" s="6">
        <v>79.989999999999995</v>
      </c>
      <c r="K53" s="51">
        <v>7</v>
      </c>
      <c r="L53" s="45">
        <f t="shared" si="0"/>
        <v>0.15</v>
      </c>
      <c r="M53" s="7">
        <v>15</v>
      </c>
      <c r="N53" s="15">
        <v>475.94</v>
      </c>
      <c r="O53" s="49">
        <v>1</v>
      </c>
      <c r="P53" s="5" t="s">
        <v>44</v>
      </c>
      <c r="Q53" s="2" t="str">
        <f>VLOOKUP($A53,Inventory!$A$2:$H$11,6,0)</f>
        <v>TechWorld Sp. z o.o.</v>
      </c>
    </row>
    <row r="54" spans="1:17" x14ac:dyDescent="0.3">
      <c r="A54" t="str">
        <f>LEFT(C54&amp;Orders_Data!D54,4)</f>
        <v>P007</v>
      </c>
      <c r="B54" s="2" t="s">
        <v>120</v>
      </c>
      <c r="C54" s="2" t="s">
        <v>14</v>
      </c>
      <c r="D54" s="2" t="s">
        <v>15</v>
      </c>
      <c r="E54" s="2" t="s">
        <v>16</v>
      </c>
      <c r="F54" s="2" t="s">
        <v>29</v>
      </c>
      <c r="G54" s="2" t="s">
        <v>30</v>
      </c>
      <c r="H54" s="2" t="s">
        <v>56</v>
      </c>
      <c r="I54" s="50">
        <v>2024</v>
      </c>
      <c r="J54" s="3">
        <v>249.99</v>
      </c>
      <c r="K54" s="50">
        <v>16</v>
      </c>
      <c r="L54" s="45">
        <f t="shared" si="0"/>
        <v>0.15</v>
      </c>
      <c r="M54" s="4">
        <v>15</v>
      </c>
      <c r="N54" s="14">
        <v>3399.86</v>
      </c>
      <c r="O54" s="49">
        <v>1</v>
      </c>
      <c r="P54" s="2" t="s">
        <v>20</v>
      </c>
      <c r="Q54" s="2" t="str">
        <f>VLOOKUP($A54,Inventory!$A$2:$H$11,6,0)</f>
        <v>ErgoOffice SA</v>
      </c>
    </row>
    <row r="55" spans="1:17" x14ac:dyDescent="0.3">
      <c r="A55" t="str">
        <f>LEFT(C55&amp;Orders_Data!D55,4)</f>
        <v>P003</v>
      </c>
      <c r="B55" s="5" t="s">
        <v>121</v>
      </c>
      <c r="C55" s="5" t="s">
        <v>34</v>
      </c>
      <c r="D55" s="5" t="s">
        <v>35</v>
      </c>
      <c r="E55" s="5" t="s">
        <v>24</v>
      </c>
      <c r="F55" s="5" t="s">
        <v>25</v>
      </c>
      <c r="G55" s="5" t="s">
        <v>42</v>
      </c>
      <c r="H55" s="5" t="s">
        <v>79</v>
      </c>
      <c r="I55" s="51">
        <v>2024</v>
      </c>
      <c r="J55" s="6">
        <v>49.99</v>
      </c>
      <c r="K55" s="51">
        <v>8</v>
      </c>
      <c r="L55" s="45">
        <f t="shared" si="0"/>
        <v>0</v>
      </c>
      <c r="M55" s="7">
        <v>0</v>
      </c>
      <c r="N55" s="15">
        <v>399.92</v>
      </c>
      <c r="O55" s="49">
        <v>1</v>
      </c>
      <c r="P55" s="5" t="s">
        <v>62</v>
      </c>
      <c r="Q55" s="2" t="str">
        <f>VLOOKUP($A55,Inventory!$A$2:$H$11,6,0)</f>
        <v>GadgetHub Polska</v>
      </c>
    </row>
    <row r="56" spans="1:17" x14ac:dyDescent="0.3">
      <c r="A56" t="str">
        <f>LEFT(C56&amp;Orders_Data!D56,4)</f>
        <v>P004</v>
      </c>
      <c r="B56" s="2" t="s">
        <v>122</v>
      </c>
      <c r="C56" s="2" t="s">
        <v>49</v>
      </c>
      <c r="D56" s="2" t="s">
        <v>50</v>
      </c>
      <c r="E56" s="2" t="s">
        <v>41</v>
      </c>
      <c r="F56" s="2" t="s">
        <v>17</v>
      </c>
      <c r="G56" s="2" t="s">
        <v>71</v>
      </c>
      <c r="H56" s="2" t="s">
        <v>27</v>
      </c>
      <c r="I56" s="50">
        <v>2024</v>
      </c>
      <c r="J56" s="3">
        <v>399.99</v>
      </c>
      <c r="K56" s="50">
        <v>8</v>
      </c>
      <c r="L56" s="45">
        <f t="shared" si="0"/>
        <v>0</v>
      </c>
      <c r="M56" s="4">
        <v>0</v>
      </c>
      <c r="N56" s="14">
        <v>3199.92</v>
      </c>
      <c r="O56" s="49">
        <v>1</v>
      </c>
      <c r="P56" s="2" t="s">
        <v>66</v>
      </c>
      <c r="Q56" s="2" t="str">
        <f>VLOOKUP($A56,Inventory!$A$2:$H$11,6,0)</f>
        <v>TechWorld Sp. z o.o.</v>
      </c>
    </row>
    <row r="57" spans="1:17" x14ac:dyDescent="0.3">
      <c r="A57" t="str">
        <f>LEFT(C57&amp;Orders_Data!D57,4)</f>
        <v>P010</v>
      </c>
      <c r="B57" s="5" t="s">
        <v>123</v>
      </c>
      <c r="C57" s="5" t="s">
        <v>82</v>
      </c>
      <c r="D57" s="5" t="s">
        <v>83</v>
      </c>
      <c r="E57" s="5" t="s">
        <v>16</v>
      </c>
      <c r="F57" s="5" t="s">
        <v>25</v>
      </c>
      <c r="G57" s="5" t="s">
        <v>26</v>
      </c>
      <c r="H57" s="5" t="s">
        <v>94</v>
      </c>
      <c r="I57" s="51">
        <v>2024</v>
      </c>
      <c r="J57" s="6">
        <v>39.99</v>
      </c>
      <c r="K57" s="51">
        <v>1</v>
      </c>
      <c r="L57" s="45">
        <f t="shared" si="0"/>
        <v>0</v>
      </c>
      <c r="M57" s="7">
        <v>0</v>
      </c>
      <c r="N57" s="15">
        <v>39.99</v>
      </c>
      <c r="O57" s="49">
        <v>1</v>
      </c>
      <c r="P57" s="5" t="s">
        <v>32</v>
      </c>
      <c r="Q57" s="2" t="str">
        <f>VLOOKUP($A57,Inventory!$A$2:$H$11,6,0)</f>
        <v>ErgoOffice SA</v>
      </c>
    </row>
    <row r="58" spans="1:17" x14ac:dyDescent="0.3">
      <c r="A58" t="str">
        <f>LEFT(C58&amp;Orders_Data!D58,4)</f>
        <v>P001</v>
      </c>
      <c r="B58" s="2" t="s">
        <v>124</v>
      </c>
      <c r="C58" s="2" t="s">
        <v>39</v>
      </c>
      <c r="D58" s="2" t="s">
        <v>40</v>
      </c>
      <c r="E58" s="2" t="s">
        <v>41</v>
      </c>
      <c r="F58" s="2" t="s">
        <v>25</v>
      </c>
      <c r="G58" s="2" t="s">
        <v>42</v>
      </c>
      <c r="H58" s="2" t="s">
        <v>61</v>
      </c>
      <c r="I58" s="50">
        <v>2025</v>
      </c>
      <c r="J58" s="3">
        <v>1299.99</v>
      </c>
      <c r="K58" s="50">
        <v>6</v>
      </c>
      <c r="L58" s="45">
        <f t="shared" si="0"/>
        <v>0</v>
      </c>
      <c r="M58" s="4">
        <v>0</v>
      </c>
      <c r="N58" s="14">
        <v>7799.94</v>
      </c>
      <c r="O58" s="49">
        <v>1</v>
      </c>
      <c r="P58" s="2" t="s">
        <v>66</v>
      </c>
      <c r="Q58" s="2" t="str">
        <f>VLOOKUP($A58,Inventory!$A$2:$H$11,6,0)</f>
        <v>TechWorld Sp. z o.o.</v>
      </c>
    </row>
    <row r="59" spans="1:17" x14ac:dyDescent="0.3">
      <c r="A59" t="str">
        <f>LEFT(C59&amp;Orders_Data!D59,4)</f>
        <v>P001</v>
      </c>
      <c r="B59" s="5" t="s">
        <v>125</v>
      </c>
      <c r="C59" s="5" t="s">
        <v>39</v>
      </c>
      <c r="D59" s="5" t="s">
        <v>40</v>
      </c>
      <c r="E59" s="5" t="s">
        <v>41</v>
      </c>
      <c r="F59" s="5" t="s">
        <v>29</v>
      </c>
      <c r="G59" s="5" t="s">
        <v>36</v>
      </c>
      <c r="H59" s="5" t="s">
        <v>94</v>
      </c>
      <c r="I59" s="51">
        <v>2025</v>
      </c>
      <c r="J59" s="6">
        <v>1299.99</v>
      </c>
      <c r="K59" s="51">
        <v>4</v>
      </c>
      <c r="L59" s="45">
        <f t="shared" si="0"/>
        <v>0</v>
      </c>
      <c r="M59" s="7">
        <v>0</v>
      </c>
      <c r="N59" s="15">
        <v>5199.96</v>
      </c>
      <c r="O59" s="49">
        <v>1</v>
      </c>
      <c r="P59" s="5" t="s">
        <v>66</v>
      </c>
      <c r="Q59" s="2" t="str">
        <f>VLOOKUP($A59,Inventory!$A$2:$H$11,6,0)</f>
        <v>TechWorld Sp. z o.o.</v>
      </c>
    </row>
    <row r="60" spans="1:17" x14ac:dyDescent="0.3">
      <c r="A60" t="str">
        <f>LEFT(C60&amp;Orders_Data!D60,4)</f>
        <v>P007</v>
      </c>
      <c r="B60" s="2" t="s">
        <v>126</v>
      </c>
      <c r="C60" s="2" t="s">
        <v>14</v>
      </c>
      <c r="D60" s="2" t="s">
        <v>15</v>
      </c>
      <c r="E60" s="2" t="s">
        <v>16</v>
      </c>
      <c r="F60" s="2" t="s">
        <v>51</v>
      </c>
      <c r="G60" s="2" t="s">
        <v>52</v>
      </c>
      <c r="H60" s="2" t="s">
        <v>27</v>
      </c>
      <c r="I60" s="50">
        <v>2025</v>
      </c>
      <c r="J60" s="3">
        <v>249.99</v>
      </c>
      <c r="K60" s="50">
        <v>7</v>
      </c>
      <c r="L60" s="45">
        <f t="shared" si="0"/>
        <v>0.05</v>
      </c>
      <c r="M60" s="4">
        <v>5</v>
      </c>
      <c r="N60" s="14">
        <v>1662.43</v>
      </c>
      <c r="O60" s="49">
        <v>1</v>
      </c>
      <c r="P60" s="2" t="s">
        <v>44</v>
      </c>
      <c r="Q60" s="2" t="str">
        <f>VLOOKUP($A60,Inventory!$A$2:$H$11,6,0)</f>
        <v>ErgoOffice SA</v>
      </c>
    </row>
    <row r="61" spans="1:17" x14ac:dyDescent="0.3">
      <c r="A61" t="str">
        <f>LEFT(C61&amp;Orders_Data!D61,4)</f>
        <v>P001</v>
      </c>
      <c r="B61" s="5" t="s">
        <v>127</v>
      </c>
      <c r="C61" s="5" t="s">
        <v>39</v>
      </c>
      <c r="D61" s="5" t="s">
        <v>40</v>
      </c>
      <c r="E61" s="5" t="s">
        <v>41</v>
      </c>
      <c r="F61" s="5" t="s">
        <v>25</v>
      </c>
      <c r="G61" s="5" t="s">
        <v>42</v>
      </c>
      <c r="H61" s="5" t="s">
        <v>56</v>
      </c>
      <c r="I61" s="51">
        <v>2024</v>
      </c>
      <c r="J61" s="6">
        <v>1299.99</v>
      </c>
      <c r="K61" s="51">
        <v>13</v>
      </c>
      <c r="L61" s="45">
        <f t="shared" si="0"/>
        <v>0</v>
      </c>
      <c r="M61" s="7">
        <v>0</v>
      </c>
      <c r="N61" s="15">
        <v>16899.87</v>
      </c>
      <c r="O61" s="49">
        <v>1</v>
      </c>
      <c r="P61" s="5" t="s">
        <v>66</v>
      </c>
      <c r="Q61" s="2" t="str">
        <f>VLOOKUP($A61,Inventory!$A$2:$H$11,6,0)</f>
        <v>TechWorld Sp. z o.o.</v>
      </c>
    </row>
    <row r="62" spans="1:17" x14ac:dyDescent="0.3">
      <c r="A62" t="str">
        <f>LEFT(C62&amp;Orders_Data!D62,4)</f>
        <v>P006</v>
      </c>
      <c r="B62" s="2" t="s">
        <v>128</v>
      </c>
      <c r="C62" s="2" t="s">
        <v>85</v>
      </c>
      <c r="D62" s="2" t="s">
        <v>86</v>
      </c>
      <c r="E62" s="2" t="s">
        <v>41</v>
      </c>
      <c r="F62" s="2" t="s">
        <v>17</v>
      </c>
      <c r="G62" s="2" t="s">
        <v>18</v>
      </c>
      <c r="H62" s="2" t="s">
        <v>27</v>
      </c>
      <c r="I62" s="50">
        <v>2024</v>
      </c>
      <c r="J62" s="3">
        <v>79.989999999999995</v>
      </c>
      <c r="K62" s="50">
        <v>3</v>
      </c>
      <c r="L62" s="45">
        <f t="shared" si="0"/>
        <v>0</v>
      </c>
      <c r="M62" s="4">
        <v>0</v>
      </c>
      <c r="N62" s="14">
        <v>239.97</v>
      </c>
      <c r="O62" s="49">
        <v>1</v>
      </c>
      <c r="P62" s="2" t="s">
        <v>44</v>
      </c>
      <c r="Q62" s="2" t="str">
        <f>VLOOKUP($A62,Inventory!$A$2:$H$11,6,0)</f>
        <v>TechWorld Sp. z o.o.</v>
      </c>
    </row>
    <row r="63" spans="1:17" x14ac:dyDescent="0.3">
      <c r="A63" t="str">
        <f>LEFT(C63&amp;Orders_Data!D63,4)</f>
        <v>P003</v>
      </c>
      <c r="B63" s="5" t="s">
        <v>129</v>
      </c>
      <c r="C63" s="5" t="s">
        <v>34</v>
      </c>
      <c r="D63" s="5" t="s">
        <v>35</v>
      </c>
      <c r="E63" s="5" t="s">
        <v>24</v>
      </c>
      <c r="F63" s="5" t="s">
        <v>51</v>
      </c>
      <c r="G63" s="5" t="s">
        <v>89</v>
      </c>
      <c r="H63" s="5" t="s">
        <v>31</v>
      </c>
      <c r="I63" s="51">
        <v>2025</v>
      </c>
      <c r="J63" s="6">
        <v>49.99</v>
      </c>
      <c r="K63" s="51">
        <v>3</v>
      </c>
      <c r="L63" s="45">
        <f t="shared" si="0"/>
        <v>0.15</v>
      </c>
      <c r="M63" s="7">
        <v>15</v>
      </c>
      <c r="N63" s="15">
        <v>127.47</v>
      </c>
      <c r="O63" s="49">
        <v>1</v>
      </c>
      <c r="P63" s="5" t="s">
        <v>44</v>
      </c>
      <c r="Q63" s="2" t="str">
        <f>VLOOKUP($A63,Inventory!$A$2:$H$11,6,0)</f>
        <v>GadgetHub Polska</v>
      </c>
    </row>
    <row r="64" spans="1:17" x14ac:dyDescent="0.3">
      <c r="A64" t="str">
        <f>LEFT(C64&amp;Orders_Data!D64,4)</f>
        <v>P007</v>
      </c>
      <c r="B64" s="2" t="s">
        <v>130</v>
      </c>
      <c r="C64" s="2" t="s">
        <v>14</v>
      </c>
      <c r="D64" s="2" t="s">
        <v>15</v>
      </c>
      <c r="E64" s="2" t="s">
        <v>16</v>
      </c>
      <c r="F64" s="2" t="s">
        <v>54</v>
      </c>
      <c r="G64" s="2" t="s">
        <v>78</v>
      </c>
      <c r="H64" s="2" t="s">
        <v>37</v>
      </c>
      <c r="I64" s="50">
        <v>2025</v>
      </c>
      <c r="J64" s="3">
        <v>249.99</v>
      </c>
      <c r="K64" s="50">
        <v>16</v>
      </c>
      <c r="L64" s="45">
        <f t="shared" si="0"/>
        <v>0.05</v>
      </c>
      <c r="M64" s="4">
        <v>5</v>
      </c>
      <c r="N64" s="14">
        <v>3799.85</v>
      </c>
      <c r="O64" s="49">
        <v>1</v>
      </c>
      <c r="P64" s="2" t="s">
        <v>62</v>
      </c>
      <c r="Q64" s="2" t="str">
        <f>VLOOKUP($A64,Inventory!$A$2:$H$11,6,0)</f>
        <v>ErgoOffice SA</v>
      </c>
    </row>
    <row r="65" spans="1:17" x14ac:dyDescent="0.3">
      <c r="A65" t="str">
        <f>LEFT(C65&amp;Orders_Data!D65,4)</f>
        <v>P007</v>
      </c>
      <c r="B65" s="5" t="s">
        <v>131</v>
      </c>
      <c r="C65" s="5" t="s">
        <v>14</v>
      </c>
      <c r="D65" s="5" t="s">
        <v>15</v>
      </c>
      <c r="E65" s="5" t="s">
        <v>16</v>
      </c>
      <c r="F65" s="5" t="s">
        <v>29</v>
      </c>
      <c r="G65" s="5" t="s">
        <v>36</v>
      </c>
      <c r="H65" s="5" t="s">
        <v>31</v>
      </c>
      <c r="I65" s="51">
        <v>2025</v>
      </c>
      <c r="J65" s="6">
        <v>249.99</v>
      </c>
      <c r="K65" s="51">
        <v>4</v>
      </c>
      <c r="L65" s="45">
        <f t="shared" si="0"/>
        <v>0</v>
      </c>
      <c r="M65" s="7">
        <v>0</v>
      </c>
      <c r="N65" s="15">
        <v>999.96</v>
      </c>
      <c r="O65" s="49">
        <v>1</v>
      </c>
      <c r="P65" s="5" t="s">
        <v>62</v>
      </c>
      <c r="Q65" s="2" t="str">
        <f>VLOOKUP($A65,Inventory!$A$2:$H$11,6,0)</f>
        <v>ErgoOffice SA</v>
      </c>
    </row>
    <row r="66" spans="1:17" x14ac:dyDescent="0.3">
      <c r="A66" t="str">
        <f>LEFT(C66&amp;Orders_Data!D66,4)</f>
        <v>P004</v>
      </c>
      <c r="B66" s="2" t="s">
        <v>132</v>
      </c>
      <c r="C66" s="2" t="s">
        <v>49</v>
      </c>
      <c r="D66" s="2" t="s">
        <v>50</v>
      </c>
      <c r="E66" s="2" t="s">
        <v>41</v>
      </c>
      <c r="F66" s="2" t="s">
        <v>54</v>
      </c>
      <c r="G66" s="2" t="s">
        <v>55</v>
      </c>
      <c r="H66" s="2" t="s">
        <v>94</v>
      </c>
      <c r="I66" s="50">
        <v>2025</v>
      </c>
      <c r="J66" s="3">
        <v>399.99</v>
      </c>
      <c r="K66" s="50">
        <v>11</v>
      </c>
      <c r="L66" s="45">
        <f t="shared" si="0"/>
        <v>0.1</v>
      </c>
      <c r="M66" s="4">
        <v>10</v>
      </c>
      <c r="N66" s="14">
        <v>3959.9</v>
      </c>
      <c r="O66" s="49">
        <v>1</v>
      </c>
      <c r="P66" s="2" t="s">
        <v>44</v>
      </c>
      <c r="Q66" s="2" t="str">
        <f>VLOOKUP($A66,Inventory!$A$2:$H$11,6,0)</f>
        <v>TechWorld Sp. z o.o.</v>
      </c>
    </row>
    <row r="67" spans="1:17" x14ac:dyDescent="0.3">
      <c r="A67" t="str">
        <f>LEFT(C67&amp;Orders_Data!D67,4)</f>
        <v>P005</v>
      </c>
      <c r="B67" s="5" t="s">
        <v>133</v>
      </c>
      <c r="C67" s="5" t="s">
        <v>76</v>
      </c>
      <c r="D67" s="5" t="s">
        <v>77</v>
      </c>
      <c r="E67" s="5" t="s">
        <v>24</v>
      </c>
      <c r="F67" s="5" t="s">
        <v>25</v>
      </c>
      <c r="G67" s="5" t="s">
        <v>42</v>
      </c>
      <c r="H67" s="5" t="s">
        <v>94</v>
      </c>
      <c r="I67" s="51">
        <v>2025</v>
      </c>
      <c r="J67" s="6">
        <v>89.99</v>
      </c>
      <c r="K67" s="51">
        <v>15</v>
      </c>
      <c r="L67" s="45">
        <f t="shared" ref="L67:L76" si="1">M67/100</f>
        <v>0.1</v>
      </c>
      <c r="M67" s="7">
        <v>10</v>
      </c>
      <c r="N67" s="15">
        <v>1214.8699999999999</v>
      </c>
      <c r="O67" s="49">
        <v>1</v>
      </c>
      <c r="P67" s="5" t="s">
        <v>44</v>
      </c>
      <c r="Q67" s="2" t="str">
        <f>VLOOKUP($A67,Inventory!$A$2:$H$11,6,0)</f>
        <v>GadgetHub Polska</v>
      </c>
    </row>
    <row r="68" spans="1:17" x14ac:dyDescent="0.3">
      <c r="A68" t="str">
        <f>LEFT(C68&amp;Orders_Data!D68,4)</f>
        <v>P010</v>
      </c>
      <c r="B68" s="2" t="s">
        <v>134</v>
      </c>
      <c r="C68" s="2" t="s">
        <v>82</v>
      </c>
      <c r="D68" s="2" t="s">
        <v>83</v>
      </c>
      <c r="E68" s="2" t="s">
        <v>16</v>
      </c>
      <c r="F68" s="2" t="s">
        <v>25</v>
      </c>
      <c r="G68" s="2" t="s">
        <v>42</v>
      </c>
      <c r="H68" s="2" t="s">
        <v>43</v>
      </c>
      <c r="I68" s="50">
        <v>2024</v>
      </c>
      <c r="J68" s="3">
        <v>39.99</v>
      </c>
      <c r="K68" s="50">
        <v>1</v>
      </c>
      <c r="L68" s="45">
        <f t="shared" si="1"/>
        <v>0</v>
      </c>
      <c r="M68" s="4">
        <v>0</v>
      </c>
      <c r="N68" s="14">
        <v>39.99</v>
      </c>
      <c r="O68" s="49">
        <v>1</v>
      </c>
      <c r="P68" s="2" t="s">
        <v>32</v>
      </c>
      <c r="Q68" s="2" t="str">
        <f>VLOOKUP($A68,Inventory!$A$2:$H$11,6,0)</f>
        <v>ErgoOffice SA</v>
      </c>
    </row>
    <row r="69" spans="1:17" x14ac:dyDescent="0.3">
      <c r="A69" t="str">
        <f>LEFT(C69&amp;Orders_Data!D69,4)</f>
        <v>P008</v>
      </c>
      <c r="B69" s="5" t="s">
        <v>135</v>
      </c>
      <c r="C69" s="5" t="s">
        <v>46</v>
      </c>
      <c r="D69" s="5" t="s">
        <v>47</v>
      </c>
      <c r="E69" s="5" t="s">
        <v>16</v>
      </c>
      <c r="F69" s="5" t="s">
        <v>17</v>
      </c>
      <c r="G69" s="5" t="s">
        <v>71</v>
      </c>
      <c r="H69" s="5" t="s">
        <v>27</v>
      </c>
      <c r="I69" s="51">
        <v>2024</v>
      </c>
      <c r="J69" s="6">
        <v>499.99</v>
      </c>
      <c r="K69" s="51">
        <v>20</v>
      </c>
      <c r="L69" s="45">
        <f t="shared" si="1"/>
        <v>0.15</v>
      </c>
      <c r="M69" s="7">
        <v>15</v>
      </c>
      <c r="N69" s="15">
        <v>8499.83</v>
      </c>
      <c r="O69" s="49">
        <v>1</v>
      </c>
      <c r="P69" s="5" t="s">
        <v>62</v>
      </c>
      <c r="Q69" s="2" t="str">
        <f>VLOOKUP($A69,Inventory!$A$2:$H$11,6,0)</f>
        <v>ErgoOffice SA</v>
      </c>
    </row>
    <row r="70" spans="1:17" x14ac:dyDescent="0.3">
      <c r="A70" t="str">
        <f>LEFT(C70&amp;Orders_Data!D70,4)</f>
        <v>P002</v>
      </c>
      <c r="B70" s="2" t="s">
        <v>136</v>
      </c>
      <c r="C70" s="2" t="s">
        <v>22</v>
      </c>
      <c r="D70" s="2" t="s">
        <v>23</v>
      </c>
      <c r="E70" s="2" t="s">
        <v>24</v>
      </c>
      <c r="F70" s="2" t="s">
        <v>25</v>
      </c>
      <c r="G70" s="2" t="s">
        <v>26</v>
      </c>
      <c r="H70" s="2" t="s">
        <v>94</v>
      </c>
      <c r="I70" s="50">
        <v>2024</v>
      </c>
      <c r="J70" s="3">
        <v>29.99</v>
      </c>
      <c r="K70" s="50">
        <v>19</v>
      </c>
      <c r="L70" s="45">
        <f t="shared" si="1"/>
        <v>0</v>
      </c>
      <c r="M70" s="4">
        <v>0</v>
      </c>
      <c r="N70" s="14">
        <v>569.80999999999995</v>
      </c>
      <c r="O70" s="49">
        <v>1</v>
      </c>
      <c r="P70" s="2" t="s">
        <v>32</v>
      </c>
      <c r="Q70" s="2" t="str">
        <f>VLOOKUP($A70,Inventory!$A$2:$H$11,6,0)</f>
        <v>GadgetHub Polska</v>
      </c>
    </row>
    <row r="71" spans="1:17" x14ac:dyDescent="0.3">
      <c r="A71" t="str">
        <f>LEFT(C71&amp;Orders_Data!D71,4)</f>
        <v>P008</v>
      </c>
      <c r="B71" s="5" t="s">
        <v>137</v>
      </c>
      <c r="C71" s="5" t="s">
        <v>46</v>
      </c>
      <c r="D71" s="5" t="s">
        <v>47</v>
      </c>
      <c r="E71" s="5" t="s">
        <v>16</v>
      </c>
      <c r="F71" s="5" t="s">
        <v>25</v>
      </c>
      <c r="G71" s="5" t="s">
        <v>42</v>
      </c>
      <c r="H71" s="5" t="s">
        <v>64</v>
      </c>
      <c r="I71" s="51">
        <v>2024</v>
      </c>
      <c r="J71" s="6">
        <v>499.99</v>
      </c>
      <c r="K71" s="51">
        <v>2</v>
      </c>
      <c r="L71" s="45">
        <f t="shared" si="1"/>
        <v>0.1</v>
      </c>
      <c r="M71" s="7">
        <v>10</v>
      </c>
      <c r="N71" s="15">
        <v>899.98</v>
      </c>
      <c r="O71" s="49">
        <v>1</v>
      </c>
      <c r="P71" s="5" t="s">
        <v>44</v>
      </c>
      <c r="Q71" s="2" t="str">
        <f>VLOOKUP($A71,Inventory!$A$2:$H$11,6,0)</f>
        <v>ErgoOffice SA</v>
      </c>
    </row>
    <row r="72" spans="1:17" x14ac:dyDescent="0.3">
      <c r="A72" t="str">
        <f>LEFT(C72&amp;Orders_Data!D72,4)</f>
        <v>P003</v>
      </c>
      <c r="B72" s="2" t="s">
        <v>138</v>
      </c>
      <c r="C72" s="2" t="s">
        <v>34</v>
      </c>
      <c r="D72" s="2" t="s">
        <v>35</v>
      </c>
      <c r="E72" s="2" t="s">
        <v>24</v>
      </c>
      <c r="F72" s="2" t="s">
        <v>17</v>
      </c>
      <c r="G72" s="2" t="s">
        <v>18</v>
      </c>
      <c r="H72" s="2" t="s">
        <v>43</v>
      </c>
      <c r="I72" s="50">
        <v>2024</v>
      </c>
      <c r="J72" s="3">
        <v>49.99</v>
      </c>
      <c r="K72" s="50">
        <v>1</v>
      </c>
      <c r="L72" s="45">
        <f t="shared" si="1"/>
        <v>0</v>
      </c>
      <c r="M72" s="4">
        <v>0</v>
      </c>
      <c r="N72" s="14">
        <v>49.99</v>
      </c>
      <c r="O72" s="49">
        <v>1</v>
      </c>
      <c r="P72" s="2" t="s">
        <v>66</v>
      </c>
      <c r="Q72" s="2" t="str">
        <f>VLOOKUP($A72,Inventory!$A$2:$H$11,6,0)</f>
        <v>GadgetHub Polska</v>
      </c>
    </row>
    <row r="73" spans="1:17" x14ac:dyDescent="0.3">
      <c r="A73" t="str">
        <f>LEFT(C73&amp;Orders_Data!D73,4)</f>
        <v>P004</v>
      </c>
      <c r="B73" s="5" t="s">
        <v>139</v>
      </c>
      <c r="C73" s="5" t="s">
        <v>49</v>
      </c>
      <c r="D73" s="5" t="s">
        <v>50</v>
      </c>
      <c r="E73" s="5" t="s">
        <v>41</v>
      </c>
      <c r="F73" s="5" t="s">
        <v>51</v>
      </c>
      <c r="G73" s="5" t="s">
        <v>89</v>
      </c>
      <c r="H73" s="5" t="s">
        <v>61</v>
      </c>
      <c r="I73" s="51">
        <v>2025</v>
      </c>
      <c r="J73" s="6">
        <v>399.99</v>
      </c>
      <c r="K73" s="51">
        <v>10</v>
      </c>
      <c r="L73" s="45">
        <f t="shared" si="1"/>
        <v>0</v>
      </c>
      <c r="M73" s="7">
        <v>0</v>
      </c>
      <c r="N73" s="15">
        <v>3999.9</v>
      </c>
      <c r="O73" s="49">
        <v>1</v>
      </c>
      <c r="P73" s="5" t="s">
        <v>20</v>
      </c>
      <c r="Q73" s="2" t="str">
        <f>VLOOKUP($A73,Inventory!$A$2:$H$11,6,0)</f>
        <v>TechWorld Sp. z o.o.</v>
      </c>
    </row>
    <row r="74" spans="1:17" x14ac:dyDescent="0.3">
      <c r="A74" t="str">
        <f>LEFT(C74&amp;Orders_Data!D74,4)</f>
        <v>P005</v>
      </c>
      <c r="B74" s="2" t="s">
        <v>140</v>
      </c>
      <c r="C74" s="2" t="s">
        <v>76</v>
      </c>
      <c r="D74" s="2" t="s">
        <v>77</v>
      </c>
      <c r="E74" s="2" t="s">
        <v>24</v>
      </c>
      <c r="F74" s="2" t="s">
        <v>51</v>
      </c>
      <c r="G74" s="2" t="s">
        <v>52</v>
      </c>
      <c r="H74" s="2" t="s">
        <v>37</v>
      </c>
      <c r="I74" s="50">
        <v>2025</v>
      </c>
      <c r="J74" s="3">
        <v>89.99</v>
      </c>
      <c r="K74" s="50">
        <v>6</v>
      </c>
      <c r="L74" s="45">
        <f t="shared" si="1"/>
        <v>0.2</v>
      </c>
      <c r="M74" s="4">
        <v>20</v>
      </c>
      <c r="N74" s="14">
        <v>431.95</v>
      </c>
      <c r="O74" s="49">
        <v>1</v>
      </c>
      <c r="P74" s="2" t="s">
        <v>32</v>
      </c>
      <c r="Q74" s="2" t="str">
        <f>VLOOKUP($A74,Inventory!$A$2:$H$11,6,0)</f>
        <v>GadgetHub Polska</v>
      </c>
    </row>
    <row r="75" spans="1:17" x14ac:dyDescent="0.3">
      <c r="A75" t="str">
        <f>LEFT(C75&amp;Orders_Data!D75,4)</f>
        <v>P007</v>
      </c>
      <c r="B75" s="5" t="s">
        <v>141</v>
      </c>
      <c r="C75" s="5" t="s">
        <v>14</v>
      </c>
      <c r="D75" s="5" t="s">
        <v>15</v>
      </c>
      <c r="E75" s="5" t="s">
        <v>16</v>
      </c>
      <c r="F75" s="5" t="s">
        <v>54</v>
      </c>
      <c r="G75" s="5" t="s">
        <v>55</v>
      </c>
      <c r="H75" s="5" t="s">
        <v>73</v>
      </c>
      <c r="I75" s="51">
        <v>2025</v>
      </c>
      <c r="J75" s="6">
        <v>249.99</v>
      </c>
      <c r="K75" s="51">
        <v>9</v>
      </c>
      <c r="L75" s="45">
        <f t="shared" si="1"/>
        <v>0.2</v>
      </c>
      <c r="M75" s="7">
        <v>20</v>
      </c>
      <c r="N75" s="15">
        <v>1799.93</v>
      </c>
      <c r="O75" s="49">
        <v>1</v>
      </c>
      <c r="P75" s="5" t="s">
        <v>20</v>
      </c>
      <c r="Q75" s="2" t="str">
        <f>VLOOKUP($A75,Inventory!$A$2:$H$11,6,0)</f>
        <v>ErgoOffice SA</v>
      </c>
    </row>
    <row r="76" spans="1:17" x14ac:dyDescent="0.3">
      <c r="A76" t="str">
        <f>LEFT(C76&amp;Orders_Data!D76,4)</f>
        <v>P005</v>
      </c>
      <c r="B76" s="2" t="s">
        <v>142</v>
      </c>
      <c r="C76" s="2" t="s">
        <v>76</v>
      </c>
      <c r="D76" s="2" t="s">
        <v>77</v>
      </c>
      <c r="E76" s="2" t="s">
        <v>24</v>
      </c>
      <c r="F76" s="2" t="s">
        <v>54</v>
      </c>
      <c r="G76" s="2" t="s">
        <v>55</v>
      </c>
      <c r="H76" s="2" t="s">
        <v>64</v>
      </c>
      <c r="I76" s="50">
        <v>2024</v>
      </c>
      <c r="J76" s="3">
        <v>89.99</v>
      </c>
      <c r="K76" s="50">
        <v>9</v>
      </c>
      <c r="L76" s="45">
        <f t="shared" si="1"/>
        <v>0.05</v>
      </c>
      <c r="M76" s="4">
        <v>5</v>
      </c>
      <c r="N76" s="14">
        <v>769.41</v>
      </c>
      <c r="O76" s="49">
        <v>1</v>
      </c>
      <c r="P76" s="2" t="s">
        <v>32</v>
      </c>
      <c r="Q76" s="2" t="str">
        <f>VLOOKUP($A76,Inventory!$A$2:$H$11,6,0)</f>
        <v>GadgetHub Polska</v>
      </c>
    </row>
    <row r="77" spans="1:17" x14ac:dyDescent="0.3">
      <c r="A77" t="str">
        <f>LEFT(C77&amp;Orders_Data!D77,4)</f>
        <v>P003</v>
      </c>
      <c r="B77" s="5" t="s">
        <v>143</v>
      </c>
      <c r="C77" s="5" t="s">
        <v>34</v>
      </c>
      <c r="D77" s="5" t="s">
        <v>35</v>
      </c>
      <c r="E77" s="5" t="s">
        <v>24</v>
      </c>
      <c r="F77" s="5" t="s">
        <v>25</v>
      </c>
      <c r="G77" s="5" t="s">
        <v>26</v>
      </c>
      <c r="H77" s="5" t="s">
        <v>94</v>
      </c>
      <c r="I77" s="51">
        <v>2025</v>
      </c>
      <c r="J77" s="6">
        <v>49.99</v>
      </c>
      <c r="K77" s="51">
        <v>15</v>
      </c>
      <c r="L77" s="46">
        <f>M77/100</f>
        <v>0</v>
      </c>
      <c r="M77" s="46">
        <f>IFERROR(100/0,0)</f>
        <v>0</v>
      </c>
      <c r="N77" s="15">
        <v>749.85</v>
      </c>
      <c r="O77" s="49">
        <v>1</v>
      </c>
      <c r="P77" s="5" t="s">
        <v>62</v>
      </c>
      <c r="Q77" s="2" t="str">
        <f>VLOOKUP($A77,Inventory!$A$2:$H$11,6,0)</f>
        <v>GadgetHub Polska</v>
      </c>
    </row>
    <row r="78" spans="1:17" x14ac:dyDescent="0.3">
      <c r="A78" t="str">
        <f>LEFT(C78&amp;Orders_Data!D78,4)</f>
        <v>P005</v>
      </c>
      <c r="B78" s="2" t="s">
        <v>144</v>
      </c>
      <c r="C78" s="2" t="s">
        <v>76</v>
      </c>
      <c r="D78" s="2" t="s">
        <v>77</v>
      </c>
      <c r="E78" s="2" t="s">
        <v>24</v>
      </c>
      <c r="F78" s="2" t="s">
        <v>51</v>
      </c>
      <c r="G78" s="2" t="s">
        <v>52</v>
      </c>
      <c r="H78" s="2" t="s">
        <v>73</v>
      </c>
      <c r="I78" s="50">
        <v>2024</v>
      </c>
      <c r="J78" s="3">
        <v>89.99</v>
      </c>
      <c r="K78" s="50">
        <v>7</v>
      </c>
      <c r="L78" s="45">
        <f t="shared" ref="L78:L101" si="2">M78/100</f>
        <v>0</v>
      </c>
      <c r="M78" s="4">
        <v>0</v>
      </c>
      <c r="N78" s="14">
        <v>629.92999999999995</v>
      </c>
      <c r="O78" s="49">
        <f>K78</f>
        <v>7</v>
      </c>
      <c r="P78" s="2" t="s">
        <v>62</v>
      </c>
      <c r="Q78" s="2" t="str">
        <f>VLOOKUP($A78,Inventory!$A$2:$H$11,6,0)</f>
        <v>GadgetHub Polska</v>
      </c>
    </row>
    <row r="79" spans="1:17" x14ac:dyDescent="0.3">
      <c r="A79" t="str">
        <f>LEFT(C79&amp;Orders_Data!D79,4)</f>
        <v>P003</v>
      </c>
      <c r="B79" s="5" t="s">
        <v>145</v>
      </c>
      <c r="C79" s="5" t="s">
        <v>34</v>
      </c>
      <c r="D79" s="5" t="s">
        <v>35</v>
      </c>
      <c r="E79" s="5" t="s">
        <v>24</v>
      </c>
      <c r="F79" s="5" t="s">
        <v>29</v>
      </c>
      <c r="G79" s="5" t="s">
        <v>30</v>
      </c>
      <c r="H79" s="5" t="s">
        <v>19</v>
      </c>
      <c r="I79" s="51">
        <v>2025</v>
      </c>
      <c r="J79" s="6">
        <v>49.99</v>
      </c>
      <c r="K79" s="51">
        <v>20</v>
      </c>
      <c r="L79" s="46">
        <f t="shared" si="2"/>
        <v>0.1</v>
      </c>
      <c r="M79" s="7">
        <v>10</v>
      </c>
      <c r="N79" s="15">
        <v>899.82</v>
      </c>
      <c r="O79" s="49">
        <f t="shared" ref="O79:O101" si="3">K79</f>
        <v>20</v>
      </c>
      <c r="P79" s="5" t="s">
        <v>44</v>
      </c>
      <c r="Q79" s="2" t="str">
        <f>VLOOKUP($A79,Inventory!$A$2:$H$11,6,0)</f>
        <v>GadgetHub Polska</v>
      </c>
    </row>
    <row r="80" spans="1:17" x14ac:dyDescent="0.3">
      <c r="A80" t="str">
        <f>LEFT(C80&amp;Orders_Data!D80,4)</f>
        <v>P004</v>
      </c>
      <c r="B80" s="2" t="s">
        <v>146</v>
      </c>
      <c r="C80" s="2" t="s">
        <v>49</v>
      </c>
      <c r="D80" s="2" t="s">
        <v>50</v>
      </c>
      <c r="E80" s="2" t="s">
        <v>41</v>
      </c>
      <c r="F80" s="2" t="s">
        <v>29</v>
      </c>
      <c r="G80" s="2" t="s">
        <v>36</v>
      </c>
      <c r="H80" s="2" t="s">
        <v>56</v>
      </c>
      <c r="I80" s="50">
        <v>2024</v>
      </c>
      <c r="J80" s="3">
        <v>399.99</v>
      </c>
      <c r="K80" s="50">
        <v>11</v>
      </c>
      <c r="L80" s="45">
        <f t="shared" si="2"/>
        <v>0.15</v>
      </c>
      <c r="M80" s="4">
        <v>15</v>
      </c>
      <c r="N80" s="14">
        <v>3739.91</v>
      </c>
      <c r="O80" s="49">
        <f t="shared" si="3"/>
        <v>11</v>
      </c>
      <c r="P80" s="2" t="s">
        <v>32</v>
      </c>
      <c r="Q80" s="2" t="str">
        <f>VLOOKUP($A80,Inventory!$A$2:$H$11,6,0)</f>
        <v>TechWorld Sp. z o.o.</v>
      </c>
    </row>
    <row r="81" spans="1:17" x14ac:dyDescent="0.3">
      <c r="A81" t="str">
        <f>LEFT(C81&amp;Orders_Data!D81,4)</f>
        <v>P010</v>
      </c>
      <c r="B81" s="5" t="s">
        <v>147</v>
      </c>
      <c r="C81" s="5" t="s">
        <v>82</v>
      </c>
      <c r="D81" s="5" t="s">
        <v>83</v>
      </c>
      <c r="E81" s="5" t="s">
        <v>16</v>
      </c>
      <c r="F81" s="5" t="s">
        <v>54</v>
      </c>
      <c r="G81" s="5" t="s">
        <v>55</v>
      </c>
      <c r="H81" s="5" t="s">
        <v>43</v>
      </c>
      <c r="I81" s="51">
        <v>2024</v>
      </c>
      <c r="J81" s="6">
        <v>39.99</v>
      </c>
      <c r="K81" s="51">
        <v>14</v>
      </c>
      <c r="L81" s="46">
        <f t="shared" si="2"/>
        <v>0.05</v>
      </c>
      <c r="M81" s="7">
        <v>5</v>
      </c>
      <c r="N81" s="15">
        <v>531.87</v>
      </c>
      <c r="O81" s="49">
        <f t="shared" si="3"/>
        <v>14</v>
      </c>
      <c r="P81" s="5" t="s">
        <v>44</v>
      </c>
      <c r="Q81" s="2" t="str">
        <f>VLOOKUP($A81,Inventory!$A$2:$H$11,6,0)</f>
        <v>ErgoOffice SA</v>
      </c>
    </row>
    <row r="82" spans="1:17" x14ac:dyDescent="0.3">
      <c r="A82" t="str">
        <f>LEFT(C82&amp;Orders_Data!D82,4)</f>
        <v>P002</v>
      </c>
      <c r="B82" s="2" t="s">
        <v>148</v>
      </c>
      <c r="C82" s="2" t="s">
        <v>22</v>
      </c>
      <c r="D82" s="2" t="s">
        <v>23</v>
      </c>
      <c r="E82" s="2" t="s">
        <v>24</v>
      </c>
      <c r="F82" s="2" t="s">
        <v>54</v>
      </c>
      <c r="G82" s="2" t="s">
        <v>55</v>
      </c>
      <c r="H82" s="2" t="s">
        <v>37</v>
      </c>
      <c r="I82" s="50">
        <v>2024</v>
      </c>
      <c r="J82" s="3">
        <v>29.99</v>
      </c>
      <c r="K82" s="50">
        <v>10</v>
      </c>
      <c r="L82" s="45">
        <f t="shared" si="2"/>
        <v>0</v>
      </c>
      <c r="M82" s="4">
        <v>0</v>
      </c>
      <c r="N82" s="14">
        <v>299.89999999999998</v>
      </c>
      <c r="O82" s="49">
        <f t="shared" si="3"/>
        <v>10</v>
      </c>
      <c r="P82" s="2" t="s">
        <v>44</v>
      </c>
      <c r="Q82" s="2" t="str">
        <f>VLOOKUP($A82,Inventory!$A$2:$H$11,6,0)</f>
        <v>GadgetHub Polska</v>
      </c>
    </row>
    <row r="83" spans="1:17" x14ac:dyDescent="0.3">
      <c r="A83" t="str">
        <f>LEFT(C83&amp;Orders_Data!D83,4)</f>
        <v>P003</v>
      </c>
      <c r="B83" s="5" t="s">
        <v>149</v>
      </c>
      <c r="C83" s="5" t="s">
        <v>34</v>
      </c>
      <c r="D83" s="5" t="s">
        <v>35</v>
      </c>
      <c r="E83" s="5" t="s">
        <v>24</v>
      </c>
      <c r="F83" s="5" t="s">
        <v>25</v>
      </c>
      <c r="G83" s="5" t="s">
        <v>26</v>
      </c>
      <c r="H83" s="5" t="s">
        <v>56</v>
      </c>
      <c r="I83" s="51">
        <v>2024</v>
      </c>
      <c r="J83" s="6">
        <v>49.99</v>
      </c>
      <c r="K83" s="51">
        <v>3</v>
      </c>
      <c r="L83" s="46">
        <f t="shared" si="2"/>
        <v>0.1</v>
      </c>
      <c r="M83" s="7">
        <v>10</v>
      </c>
      <c r="N83" s="15">
        <v>134.97</v>
      </c>
      <c r="O83" s="49">
        <f t="shared" si="3"/>
        <v>3</v>
      </c>
      <c r="P83" s="5" t="s">
        <v>44</v>
      </c>
      <c r="Q83" s="2" t="str">
        <f>VLOOKUP($A83,Inventory!$A$2:$H$11,6,0)</f>
        <v>GadgetHub Polska</v>
      </c>
    </row>
    <row r="84" spans="1:17" x14ac:dyDescent="0.3">
      <c r="A84" t="str">
        <f>LEFT(C84&amp;Orders_Data!D84,4)</f>
        <v>P006</v>
      </c>
      <c r="B84" s="2" t="s">
        <v>150</v>
      </c>
      <c r="C84" s="2" t="s">
        <v>85</v>
      </c>
      <c r="D84" s="2" t="s">
        <v>86</v>
      </c>
      <c r="E84" s="2" t="s">
        <v>41</v>
      </c>
      <c r="F84" s="2" t="s">
        <v>54</v>
      </c>
      <c r="G84" s="2" t="s">
        <v>55</v>
      </c>
      <c r="H84" s="2" t="s">
        <v>73</v>
      </c>
      <c r="I84" s="50">
        <v>2025</v>
      </c>
      <c r="J84" s="3">
        <v>79.989999999999995</v>
      </c>
      <c r="K84" s="50">
        <v>11</v>
      </c>
      <c r="L84" s="45">
        <f t="shared" si="2"/>
        <v>0.1</v>
      </c>
      <c r="M84" s="4">
        <v>10</v>
      </c>
      <c r="N84" s="14">
        <v>791.9</v>
      </c>
      <c r="O84" s="49">
        <f t="shared" si="3"/>
        <v>11</v>
      </c>
      <c r="P84" s="2" t="s">
        <v>44</v>
      </c>
      <c r="Q84" s="2" t="str">
        <f>VLOOKUP($A84,Inventory!$A$2:$H$11,6,0)</f>
        <v>TechWorld Sp. z o.o.</v>
      </c>
    </row>
    <row r="85" spans="1:17" x14ac:dyDescent="0.3">
      <c r="A85" t="str">
        <f>LEFT(C85&amp;Orders_Data!D85,4)</f>
        <v>P008</v>
      </c>
      <c r="B85" s="5" t="s">
        <v>151</v>
      </c>
      <c r="C85" s="5" t="s">
        <v>46</v>
      </c>
      <c r="D85" s="5" t="s">
        <v>47</v>
      </c>
      <c r="E85" s="5" t="s">
        <v>16</v>
      </c>
      <c r="F85" s="5" t="s">
        <v>25</v>
      </c>
      <c r="G85" s="5" t="s">
        <v>26</v>
      </c>
      <c r="H85" s="5" t="s">
        <v>27</v>
      </c>
      <c r="I85" s="51">
        <v>2025</v>
      </c>
      <c r="J85" s="6">
        <v>499.99</v>
      </c>
      <c r="K85" s="51">
        <v>7</v>
      </c>
      <c r="L85" s="46">
        <f t="shared" si="2"/>
        <v>0</v>
      </c>
      <c r="M85" s="7">
        <v>0</v>
      </c>
      <c r="N85" s="15">
        <v>3499.93</v>
      </c>
      <c r="O85" s="49">
        <f t="shared" si="3"/>
        <v>7</v>
      </c>
      <c r="P85" s="5" t="s">
        <v>20</v>
      </c>
      <c r="Q85" s="2" t="str">
        <f>VLOOKUP($A85,Inventory!$A$2:$H$11,6,0)</f>
        <v>ErgoOffice SA</v>
      </c>
    </row>
    <row r="86" spans="1:17" x14ac:dyDescent="0.3">
      <c r="A86" t="str">
        <f>LEFT(C86&amp;Orders_Data!D86,4)</f>
        <v>P001</v>
      </c>
      <c r="B86" s="2" t="s">
        <v>152</v>
      </c>
      <c r="C86" s="2" t="s">
        <v>39</v>
      </c>
      <c r="D86" s="2" t="s">
        <v>40</v>
      </c>
      <c r="E86" s="2" t="s">
        <v>41</v>
      </c>
      <c r="F86" s="2" t="s">
        <v>25</v>
      </c>
      <c r="G86" s="2" t="s">
        <v>42</v>
      </c>
      <c r="H86" s="2" t="s">
        <v>94</v>
      </c>
      <c r="I86" s="50">
        <v>2025</v>
      </c>
      <c r="J86" s="3">
        <v>1299.99</v>
      </c>
      <c r="K86" s="50">
        <v>16</v>
      </c>
      <c r="L86" s="45">
        <f t="shared" si="2"/>
        <v>0</v>
      </c>
      <c r="M86" s="4">
        <v>0</v>
      </c>
      <c r="N86" s="14">
        <v>20799.84</v>
      </c>
      <c r="O86" s="49">
        <f t="shared" si="3"/>
        <v>16</v>
      </c>
      <c r="P86" s="2" t="s">
        <v>62</v>
      </c>
      <c r="Q86" s="2" t="str">
        <f>VLOOKUP($A86,Inventory!$A$2:$H$11,6,0)</f>
        <v>TechWorld Sp. z o.o.</v>
      </c>
    </row>
    <row r="87" spans="1:17" x14ac:dyDescent="0.3">
      <c r="A87" t="str">
        <f>LEFT(C87&amp;Orders_Data!D87,4)</f>
        <v>P006</v>
      </c>
      <c r="B87" s="5" t="s">
        <v>153</v>
      </c>
      <c r="C87" s="5" t="s">
        <v>85</v>
      </c>
      <c r="D87" s="5" t="s">
        <v>86</v>
      </c>
      <c r="E87" s="5" t="s">
        <v>41</v>
      </c>
      <c r="F87" s="5" t="s">
        <v>29</v>
      </c>
      <c r="G87" s="5" t="s">
        <v>30</v>
      </c>
      <c r="H87" s="5" t="s">
        <v>64</v>
      </c>
      <c r="I87" s="51">
        <v>2025</v>
      </c>
      <c r="J87" s="6">
        <v>79.989999999999995</v>
      </c>
      <c r="K87" s="51">
        <v>1</v>
      </c>
      <c r="L87" s="46">
        <f t="shared" si="2"/>
        <v>0</v>
      </c>
      <c r="M87" s="7">
        <v>0</v>
      </c>
      <c r="N87" s="15">
        <v>79.989999999999995</v>
      </c>
      <c r="O87" s="49">
        <f t="shared" si="3"/>
        <v>1</v>
      </c>
      <c r="P87" s="5" t="s">
        <v>62</v>
      </c>
      <c r="Q87" s="2" t="str">
        <f>VLOOKUP($A87,Inventory!$A$2:$H$11,6,0)</f>
        <v>TechWorld Sp. z o.o.</v>
      </c>
    </row>
    <row r="88" spans="1:17" x14ac:dyDescent="0.3">
      <c r="A88" t="str">
        <f>LEFT(C88&amp;Orders_Data!D88,4)</f>
        <v>P010</v>
      </c>
      <c r="B88" s="2" t="s">
        <v>154</v>
      </c>
      <c r="C88" s="2" t="s">
        <v>82</v>
      </c>
      <c r="D88" s="2" t="s">
        <v>83</v>
      </c>
      <c r="E88" s="2" t="s">
        <v>16</v>
      </c>
      <c r="F88" s="2" t="s">
        <v>25</v>
      </c>
      <c r="G88" s="2" t="s">
        <v>42</v>
      </c>
      <c r="H88" s="2" t="s">
        <v>56</v>
      </c>
      <c r="I88" s="50">
        <v>2025</v>
      </c>
      <c r="J88" s="3">
        <v>39.99</v>
      </c>
      <c r="K88" s="50">
        <v>2</v>
      </c>
      <c r="L88" s="45">
        <f t="shared" si="2"/>
        <v>0</v>
      </c>
      <c r="M88" s="4">
        <v>0</v>
      </c>
      <c r="N88" s="14">
        <v>79.98</v>
      </c>
      <c r="O88" s="49">
        <f t="shared" si="3"/>
        <v>2</v>
      </c>
      <c r="P88" s="2" t="s">
        <v>62</v>
      </c>
      <c r="Q88" s="2" t="str">
        <f>VLOOKUP($A88,Inventory!$A$2:$H$11,6,0)</f>
        <v>ErgoOffice SA</v>
      </c>
    </row>
    <row r="89" spans="1:17" x14ac:dyDescent="0.3">
      <c r="A89" t="str">
        <f>LEFT(C89&amp;Orders_Data!D89,4)</f>
        <v>P006</v>
      </c>
      <c r="B89" s="5" t="s">
        <v>155</v>
      </c>
      <c r="C89" s="5" t="s">
        <v>85</v>
      </c>
      <c r="D89" s="5" t="s">
        <v>86</v>
      </c>
      <c r="E89" s="5" t="s">
        <v>41</v>
      </c>
      <c r="F89" s="5" t="s">
        <v>29</v>
      </c>
      <c r="G89" s="5" t="s">
        <v>36</v>
      </c>
      <c r="H89" s="5" t="s">
        <v>31</v>
      </c>
      <c r="I89" s="51">
        <v>2024</v>
      </c>
      <c r="J89" s="6">
        <v>79.989999999999995</v>
      </c>
      <c r="K89" s="51">
        <v>18</v>
      </c>
      <c r="L89" s="46">
        <f t="shared" si="2"/>
        <v>0</v>
      </c>
      <c r="M89" s="7">
        <v>0</v>
      </c>
      <c r="N89" s="15">
        <v>1439.82</v>
      </c>
      <c r="O89" s="49">
        <f t="shared" si="3"/>
        <v>18</v>
      </c>
      <c r="P89" s="5" t="s">
        <v>44</v>
      </c>
      <c r="Q89" s="2" t="str">
        <f>VLOOKUP($A89,Inventory!$A$2:$H$11,6,0)</f>
        <v>TechWorld Sp. z o.o.</v>
      </c>
    </row>
    <row r="90" spans="1:17" x14ac:dyDescent="0.3">
      <c r="A90" t="str">
        <f>LEFT(C90&amp;Orders_Data!D90,4)</f>
        <v>P009</v>
      </c>
      <c r="B90" s="2" t="s">
        <v>156</v>
      </c>
      <c r="C90" s="2" t="s">
        <v>59</v>
      </c>
      <c r="D90" s="2" t="s">
        <v>60</v>
      </c>
      <c r="E90" s="2" t="s">
        <v>41</v>
      </c>
      <c r="F90" s="2" t="s">
        <v>25</v>
      </c>
      <c r="G90" s="2" t="s">
        <v>42</v>
      </c>
      <c r="H90" s="2" t="s">
        <v>79</v>
      </c>
      <c r="I90" s="50">
        <v>2025</v>
      </c>
      <c r="J90" s="3">
        <v>199.99</v>
      </c>
      <c r="K90" s="50">
        <v>14</v>
      </c>
      <c r="L90" s="45">
        <f t="shared" si="2"/>
        <v>0</v>
      </c>
      <c r="M90" s="4">
        <v>0</v>
      </c>
      <c r="N90" s="14">
        <v>2799.86</v>
      </c>
      <c r="O90" s="49">
        <f t="shared" si="3"/>
        <v>14</v>
      </c>
      <c r="P90" s="2" t="s">
        <v>20</v>
      </c>
      <c r="Q90" s="2" t="str">
        <f>VLOOKUP($A90,Inventory!$A$2:$H$11,6,0)</f>
        <v>TechWorld Sp. z o.o.</v>
      </c>
    </row>
    <row r="91" spans="1:17" x14ac:dyDescent="0.3">
      <c r="A91" t="str">
        <f>LEFT(C91&amp;Orders_Data!D91,4)</f>
        <v>P001</v>
      </c>
      <c r="B91" s="5" t="s">
        <v>157</v>
      </c>
      <c r="C91" s="5" t="s">
        <v>39</v>
      </c>
      <c r="D91" s="5" t="s">
        <v>40</v>
      </c>
      <c r="E91" s="5" t="s">
        <v>41</v>
      </c>
      <c r="F91" s="5" t="s">
        <v>51</v>
      </c>
      <c r="G91" s="5" t="s">
        <v>89</v>
      </c>
      <c r="H91" s="5" t="s">
        <v>91</v>
      </c>
      <c r="I91" s="51">
        <v>2025</v>
      </c>
      <c r="J91" s="6">
        <v>1299.99</v>
      </c>
      <c r="K91" s="51">
        <v>14</v>
      </c>
      <c r="L91" s="46">
        <f t="shared" si="2"/>
        <v>0.2</v>
      </c>
      <c r="M91" s="7">
        <v>20</v>
      </c>
      <c r="N91" s="15">
        <v>14559.89</v>
      </c>
      <c r="O91" s="49">
        <f t="shared" si="3"/>
        <v>14</v>
      </c>
      <c r="P91" s="5" t="s">
        <v>62</v>
      </c>
      <c r="Q91" s="2" t="str">
        <f>VLOOKUP($A91,Inventory!$A$2:$H$11,6,0)</f>
        <v>TechWorld Sp. z o.o.</v>
      </c>
    </row>
    <row r="92" spans="1:17" x14ac:dyDescent="0.3">
      <c r="A92" t="str">
        <f>LEFT(C92&amp;Orders_Data!D92,4)</f>
        <v>P009</v>
      </c>
      <c r="B92" s="2" t="s">
        <v>158</v>
      </c>
      <c r="C92" s="2" t="s">
        <v>59</v>
      </c>
      <c r="D92" s="2" t="s">
        <v>60</v>
      </c>
      <c r="E92" s="2" t="s">
        <v>41</v>
      </c>
      <c r="F92" s="2" t="s">
        <v>17</v>
      </c>
      <c r="G92" s="2" t="s">
        <v>71</v>
      </c>
      <c r="H92" s="2" t="s">
        <v>19</v>
      </c>
      <c r="I92" s="50">
        <v>2025</v>
      </c>
      <c r="J92" s="3">
        <v>199.99</v>
      </c>
      <c r="K92" s="50">
        <v>9</v>
      </c>
      <c r="L92" s="45">
        <f t="shared" si="2"/>
        <v>0</v>
      </c>
      <c r="M92" s="4">
        <v>0</v>
      </c>
      <c r="N92" s="14">
        <v>1799.91</v>
      </c>
      <c r="O92" s="49">
        <f t="shared" si="3"/>
        <v>9</v>
      </c>
      <c r="P92" s="2" t="s">
        <v>20</v>
      </c>
      <c r="Q92" s="2" t="str">
        <f>VLOOKUP($A92,Inventory!$A$2:$H$11,6,0)</f>
        <v>TechWorld Sp. z o.o.</v>
      </c>
    </row>
    <row r="93" spans="1:17" x14ac:dyDescent="0.3">
      <c r="A93" t="str">
        <f>LEFT(C93&amp;Orders_Data!D93,4)</f>
        <v>P006</v>
      </c>
      <c r="B93" s="5" t="s">
        <v>159</v>
      </c>
      <c r="C93" s="5" t="s">
        <v>85</v>
      </c>
      <c r="D93" s="5" t="s">
        <v>86</v>
      </c>
      <c r="E93" s="5" t="s">
        <v>41</v>
      </c>
      <c r="F93" s="5" t="s">
        <v>51</v>
      </c>
      <c r="G93" s="5" t="s">
        <v>89</v>
      </c>
      <c r="H93" s="5" t="s">
        <v>73</v>
      </c>
      <c r="I93" s="51">
        <v>2024</v>
      </c>
      <c r="J93" s="6">
        <v>79.989999999999995</v>
      </c>
      <c r="K93" s="51">
        <v>1</v>
      </c>
      <c r="L93" s="46">
        <f t="shared" si="2"/>
        <v>0</v>
      </c>
      <c r="M93" s="7">
        <v>0</v>
      </c>
      <c r="N93" s="15">
        <v>79.989999999999995</v>
      </c>
      <c r="O93" s="49">
        <f t="shared" si="3"/>
        <v>1</v>
      </c>
      <c r="P93" s="5" t="s">
        <v>32</v>
      </c>
      <c r="Q93" s="2" t="str">
        <f>VLOOKUP($A93,Inventory!$A$2:$H$11,6,0)</f>
        <v>TechWorld Sp. z o.o.</v>
      </c>
    </row>
    <row r="94" spans="1:17" x14ac:dyDescent="0.3">
      <c r="A94" t="str">
        <f>LEFT(C94&amp;Orders_Data!D94,4)</f>
        <v>P006</v>
      </c>
      <c r="B94" s="2" t="s">
        <v>160</v>
      </c>
      <c r="C94" s="2" t="s">
        <v>85</v>
      </c>
      <c r="D94" s="2" t="s">
        <v>86</v>
      </c>
      <c r="E94" s="2" t="s">
        <v>41</v>
      </c>
      <c r="F94" s="2" t="s">
        <v>29</v>
      </c>
      <c r="G94" s="2" t="s">
        <v>30</v>
      </c>
      <c r="H94" s="2" t="s">
        <v>19</v>
      </c>
      <c r="I94" s="50">
        <v>2024</v>
      </c>
      <c r="J94" s="3">
        <v>79.989999999999995</v>
      </c>
      <c r="K94" s="50">
        <v>20</v>
      </c>
      <c r="L94" s="45">
        <f t="shared" si="2"/>
        <v>0.15</v>
      </c>
      <c r="M94" s="4">
        <v>15</v>
      </c>
      <c r="N94" s="14">
        <v>1359.83</v>
      </c>
      <c r="O94" s="49">
        <f t="shared" si="3"/>
        <v>20</v>
      </c>
      <c r="P94" s="2" t="s">
        <v>66</v>
      </c>
      <c r="Q94" s="2" t="str">
        <f>VLOOKUP($A94,Inventory!$A$2:$H$11,6,0)</f>
        <v>TechWorld Sp. z o.o.</v>
      </c>
    </row>
    <row r="95" spans="1:17" x14ac:dyDescent="0.3">
      <c r="A95" t="str">
        <f>LEFT(C95&amp;Orders_Data!D95,4)</f>
        <v>P005</v>
      </c>
      <c r="B95" s="5" t="s">
        <v>161</v>
      </c>
      <c r="C95" s="5" t="s">
        <v>76</v>
      </c>
      <c r="D95" s="5" t="s">
        <v>77</v>
      </c>
      <c r="E95" s="5" t="s">
        <v>24</v>
      </c>
      <c r="F95" s="5" t="s">
        <v>17</v>
      </c>
      <c r="G95" s="5" t="s">
        <v>18</v>
      </c>
      <c r="H95" s="5" t="s">
        <v>56</v>
      </c>
      <c r="I95" s="51">
        <v>2024</v>
      </c>
      <c r="J95" s="6">
        <v>89.99</v>
      </c>
      <c r="K95" s="51">
        <v>10</v>
      </c>
      <c r="L95" s="46">
        <f t="shared" si="2"/>
        <v>0.15</v>
      </c>
      <c r="M95" s="7">
        <v>15</v>
      </c>
      <c r="N95" s="15">
        <v>764.91</v>
      </c>
      <c r="O95" s="49">
        <f t="shared" si="3"/>
        <v>10</v>
      </c>
      <c r="P95" s="5" t="s">
        <v>44</v>
      </c>
      <c r="Q95" s="2" t="str">
        <f>VLOOKUP($A95,Inventory!$A$2:$H$11,6,0)</f>
        <v>GadgetHub Polska</v>
      </c>
    </row>
    <row r="96" spans="1:17" x14ac:dyDescent="0.3">
      <c r="A96" t="str">
        <f>LEFT(C96&amp;Orders_Data!D96,4)</f>
        <v>P009</v>
      </c>
      <c r="B96" s="2" t="s">
        <v>162</v>
      </c>
      <c r="C96" s="2" t="s">
        <v>59</v>
      </c>
      <c r="D96" s="2" t="s">
        <v>60</v>
      </c>
      <c r="E96" s="2" t="s">
        <v>41</v>
      </c>
      <c r="F96" s="2" t="s">
        <v>29</v>
      </c>
      <c r="G96" s="2" t="s">
        <v>36</v>
      </c>
      <c r="H96" s="2" t="s">
        <v>56</v>
      </c>
      <c r="I96" s="50">
        <v>2024</v>
      </c>
      <c r="J96" s="3">
        <v>199.99</v>
      </c>
      <c r="K96" s="50">
        <v>14</v>
      </c>
      <c r="L96" s="45">
        <f t="shared" si="2"/>
        <v>0.1</v>
      </c>
      <c r="M96" s="4">
        <v>10</v>
      </c>
      <c r="N96" s="14">
        <v>2519.87</v>
      </c>
      <c r="O96" s="49">
        <f t="shared" si="3"/>
        <v>14</v>
      </c>
      <c r="P96" s="2" t="s">
        <v>62</v>
      </c>
      <c r="Q96" s="2" t="str">
        <f>VLOOKUP($A96,Inventory!$A$2:$H$11,6,0)</f>
        <v>TechWorld Sp. z o.o.</v>
      </c>
    </row>
    <row r="97" spans="1:17" x14ac:dyDescent="0.3">
      <c r="A97" t="str">
        <f>LEFT(C97&amp;Orders_Data!D97,4)</f>
        <v>P003</v>
      </c>
      <c r="B97" s="5" t="s">
        <v>163</v>
      </c>
      <c r="C97" s="5" t="s">
        <v>34</v>
      </c>
      <c r="D97" s="5" t="s">
        <v>35</v>
      </c>
      <c r="E97" s="5" t="s">
        <v>24</v>
      </c>
      <c r="F97" s="5" t="s">
        <v>25</v>
      </c>
      <c r="G97" s="5" t="s">
        <v>26</v>
      </c>
      <c r="H97" s="5" t="s">
        <v>43</v>
      </c>
      <c r="I97" s="51">
        <v>2025</v>
      </c>
      <c r="J97" s="6">
        <v>49.99</v>
      </c>
      <c r="K97" s="51">
        <v>3</v>
      </c>
      <c r="L97" s="46">
        <f t="shared" si="2"/>
        <v>0.2</v>
      </c>
      <c r="M97" s="7">
        <v>20</v>
      </c>
      <c r="N97" s="15">
        <v>119.98</v>
      </c>
      <c r="O97" s="49">
        <f t="shared" si="3"/>
        <v>3</v>
      </c>
      <c r="P97" s="5" t="s">
        <v>66</v>
      </c>
      <c r="Q97" s="2" t="str">
        <f>VLOOKUP($A97,Inventory!$A$2:$H$11,6,0)</f>
        <v>GadgetHub Polska</v>
      </c>
    </row>
    <row r="98" spans="1:17" x14ac:dyDescent="0.3">
      <c r="A98" t="str">
        <f>LEFT(C98&amp;Orders_Data!D98,4)</f>
        <v>P001</v>
      </c>
      <c r="B98" s="2" t="s">
        <v>164</v>
      </c>
      <c r="C98" s="2" t="s">
        <v>39</v>
      </c>
      <c r="D98" s="2" t="s">
        <v>40</v>
      </c>
      <c r="E98" s="2" t="s">
        <v>41</v>
      </c>
      <c r="F98" s="2" t="s">
        <v>17</v>
      </c>
      <c r="G98" s="2" t="s">
        <v>18</v>
      </c>
      <c r="H98" s="2" t="s">
        <v>91</v>
      </c>
      <c r="I98" s="50">
        <v>2024</v>
      </c>
      <c r="J98" s="3">
        <v>1299.99</v>
      </c>
      <c r="K98" s="50">
        <v>16</v>
      </c>
      <c r="L98" s="45">
        <f t="shared" si="2"/>
        <v>0</v>
      </c>
      <c r="M98" s="4">
        <v>0</v>
      </c>
      <c r="N98" s="14">
        <v>20799.84</v>
      </c>
      <c r="O98" s="49">
        <f t="shared" si="3"/>
        <v>16</v>
      </c>
      <c r="P98" s="2" t="s">
        <v>20</v>
      </c>
      <c r="Q98" s="2" t="str">
        <f>VLOOKUP($A98,Inventory!$A$2:$H$11,6,0)</f>
        <v>TechWorld Sp. z o.o.</v>
      </c>
    </row>
    <row r="99" spans="1:17" x14ac:dyDescent="0.3">
      <c r="A99" t="str">
        <f>LEFT(C99&amp;Orders_Data!D99,4)</f>
        <v>P009</v>
      </c>
      <c r="B99" s="5" t="s">
        <v>165</v>
      </c>
      <c r="C99" s="5" t="s">
        <v>59</v>
      </c>
      <c r="D99" s="5" t="s">
        <v>60</v>
      </c>
      <c r="E99" s="5" t="s">
        <v>41</v>
      </c>
      <c r="F99" s="5" t="s">
        <v>54</v>
      </c>
      <c r="G99" s="5" t="s">
        <v>55</v>
      </c>
      <c r="H99" s="5" t="s">
        <v>91</v>
      </c>
      <c r="I99" s="51">
        <v>2024</v>
      </c>
      <c r="J99" s="6">
        <v>199.99</v>
      </c>
      <c r="K99" s="51">
        <v>12</v>
      </c>
      <c r="L99" s="46">
        <f t="shared" si="2"/>
        <v>0.1</v>
      </c>
      <c r="M99" s="7">
        <v>10</v>
      </c>
      <c r="N99" s="15">
        <v>2159.89</v>
      </c>
      <c r="O99" s="49">
        <f t="shared" si="3"/>
        <v>12</v>
      </c>
      <c r="P99" s="5" t="s">
        <v>20</v>
      </c>
      <c r="Q99" s="2" t="str">
        <f>VLOOKUP($A99,Inventory!$A$2:$H$11,6,0)</f>
        <v>TechWorld Sp. z o.o.</v>
      </c>
    </row>
    <row r="100" spans="1:17" x14ac:dyDescent="0.3">
      <c r="A100" t="str">
        <f>LEFT(C100&amp;Orders_Data!D100,4)</f>
        <v>P006</v>
      </c>
      <c r="B100" s="2" t="s">
        <v>166</v>
      </c>
      <c r="C100" s="2" t="s">
        <v>85</v>
      </c>
      <c r="D100" s="2" t="s">
        <v>86</v>
      </c>
      <c r="E100" s="2" t="s">
        <v>41</v>
      </c>
      <c r="F100" s="2" t="s">
        <v>29</v>
      </c>
      <c r="G100" s="2" t="s">
        <v>30</v>
      </c>
      <c r="H100" s="2" t="s">
        <v>37</v>
      </c>
      <c r="I100" s="50">
        <v>2024</v>
      </c>
      <c r="J100" s="3">
        <v>79.989999999999995</v>
      </c>
      <c r="K100" s="50">
        <v>7</v>
      </c>
      <c r="L100" s="45">
        <f t="shared" si="2"/>
        <v>0.15</v>
      </c>
      <c r="M100" s="4">
        <v>15</v>
      </c>
      <c r="N100" s="14">
        <v>475.94</v>
      </c>
      <c r="O100" s="49">
        <f t="shared" si="3"/>
        <v>7</v>
      </c>
      <c r="P100" s="2" t="s">
        <v>44</v>
      </c>
      <c r="Q100" s="2" t="str">
        <f>VLOOKUP($A100,Inventory!$A$2:$H$11,6,0)</f>
        <v>TechWorld Sp. z o.o.</v>
      </c>
    </row>
    <row r="101" spans="1:17" x14ac:dyDescent="0.3">
      <c r="A101" t="str">
        <f>LEFT(C101&amp;Orders_Data!D101,4)</f>
        <v>P008</v>
      </c>
      <c r="B101" s="5" t="s">
        <v>167</v>
      </c>
      <c r="C101" s="5" t="s">
        <v>46</v>
      </c>
      <c r="D101" s="5" t="s">
        <v>47</v>
      </c>
      <c r="E101" s="5" t="s">
        <v>16</v>
      </c>
      <c r="F101" s="5" t="s">
        <v>51</v>
      </c>
      <c r="G101" s="5" t="s">
        <v>52</v>
      </c>
      <c r="H101" s="5" t="s">
        <v>91</v>
      </c>
      <c r="I101" s="51">
        <v>2024</v>
      </c>
      <c r="J101" s="6">
        <v>499.99</v>
      </c>
      <c r="K101" s="51">
        <v>7</v>
      </c>
      <c r="L101" s="46">
        <f t="shared" si="2"/>
        <v>0.15</v>
      </c>
      <c r="M101" s="7">
        <v>15</v>
      </c>
      <c r="N101" s="15">
        <v>2974.94</v>
      </c>
      <c r="O101" s="49">
        <f t="shared" si="3"/>
        <v>7</v>
      </c>
      <c r="P101" s="5" t="s">
        <v>44</v>
      </c>
      <c r="Q101" s="2" t="str">
        <f>VLOOKUP($A101,Inventory!$A$2:$H$11,6,0)</f>
        <v>ErgoOffice SA</v>
      </c>
    </row>
  </sheetData>
  <conditionalFormatting sqref="P1:P1048576">
    <cfRule type="expression" priority="1">
      <formula>$P$2:$P$101="Shipped"</formula>
    </cfRule>
  </conditionalFormatting>
  <conditionalFormatting sqref="P2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4">
      <iconSet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52F1-50BC-4A82-9B62-5C25300069E0}">
  <sheetPr>
    <pageSetUpPr autoPageBreaks="0"/>
  </sheetPr>
  <dimension ref="A1:AB53"/>
  <sheetViews>
    <sheetView showGridLines="0" tabSelected="1" zoomScale="55" zoomScaleNormal="55" workbookViewId="0">
      <selection activeCell="AE15" sqref="AE15"/>
    </sheetView>
  </sheetViews>
  <sheetFormatPr defaultRowHeight="14.4" x14ac:dyDescent="0.3"/>
  <cols>
    <col min="1" max="1" width="11.88671875" customWidth="1"/>
    <col min="2" max="2" width="16.77734375" customWidth="1"/>
    <col min="3" max="3" width="17.5546875" customWidth="1"/>
    <col min="4" max="4" width="13.44140625" customWidth="1"/>
    <col min="5" max="5" width="14" hidden="1" customWidth="1"/>
    <col min="6" max="6" width="0" hidden="1" customWidth="1"/>
    <col min="8" max="8" width="8.88671875" customWidth="1"/>
    <col min="13" max="13" width="13.6640625" customWidth="1"/>
    <col min="16" max="16" width="14.6640625" customWidth="1"/>
  </cols>
  <sheetData>
    <row r="1" spans="1:16" x14ac:dyDescent="0.3">
      <c r="E1" s="1" t="s">
        <v>3</v>
      </c>
      <c r="F1" s="1" t="s">
        <v>7</v>
      </c>
    </row>
    <row r="2" spans="1:16" ht="15.6" x14ac:dyDescent="0.3">
      <c r="A2" s="42" t="s">
        <v>7</v>
      </c>
      <c r="B2" s="43">
        <v>2025</v>
      </c>
      <c r="C2" s="23">
        <v>2024</v>
      </c>
      <c r="E2" s="40" t="s">
        <v>16</v>
      </c>
      <c r="F2" s="40">
        <v>2024</v>
      </c>
    </row>
    <row r="3" spans="1:16" ht="15.6" x14ac:dyDescent="0.3">
      <c r="A3" s="42" t="s">
        <v>190</v>
      </c>
      <c r="B3" s="43" t="s">
        <v>24</v>
      </c>
      <c r="C3" s="23">
        <v>2025</v>
      </c>
      <c r="E3" s="5" t="s">
        <v>24</v>
      </c>
      <c r="F3" s="5">
        <v>2025</v>
      </c>
    </row>
    <row r="4" spans="1:16" x14ac:dyDescent="0.3">
      <c r="E4" s="2" t="s">
        <v>41</v>
      </c>
      <c r="F4" s="41"/>
    </row>
    <row r="5" spans="1:16" hidden="1" x14ac:dyDescent="0.3">
      <c r="A5" t="str">
        <f>B3&amp;" " &amp; " " &amp;B2 &amp;" " &amp;"Average Status Overview "</f>
        <v xml:space="preserve">Accessories  2025 Average Status Overview </v>
      </c>
    </row>
    <row r="6" spans="1:16" x14ac:dyDescent="0.3">
      <c r="A6" s="1" t="s">
        <v>3</v>
      </c>
      <c r="B6" s="11" t="s">
        <v>7</v>
      </c>
      <c r="C6" s="11" t="s">
        <v>191</v>
      </c>
      <c r="D6" s="52" t="s">
        <v>10</v>
      </c>
      <c r="L6" s="44"/>
    </row>
    <row r="7" spans="1:16" x14ac:dyDescent="0.3">
      <c r="A7" s="17" t="str">
        <f>$B$3</f>
        <v>Accessories</v>
      </c>
      <c r="B7" s="17">
        <v>2024</v>
      </c>
      <c r="C7" s="63" cm="1">
        <f t="array" ref="C7">AVERAGE(_xlfn._xlws.FILTER(Orders_Data!$N$2:$N$101,(Orders_Data!$E$2:$E$101=$B$3)*(Orders_Data!$I$2:$I$101=2024)))</f>
        <v>604.05136363636348</v>
      </c>
      <c r="D7" s="53" cm="1">
        <f t="array" ref="D7">AVERAGE(_xlfn._xlws.FILTER(Orders_Data!$L$2:$L$101,(Orders_Data!$E$2:$E$101=$B$3)*(Orders_Data!$I$2:$I$101=2024)))</f>
        <v>3.8636363636363642E-2</v>
      </c>
    </row>
    <row r="8" spans="1:16" x14ac:dyDescent="0.3">
      <c r="A8" s="17" t="str">
        <f>$B$3</f>
        <v>Accessories</v>
      </c>
      <c r="B8" s="17">
        <v>2025</v>
      </c>
      <c r="C8" s="63" cm="1">
        <f t="array" ref="C8">AVERAGE(_xlfn._xlws.FILTER(Orders_Data!$N$2:$N$101,(Orders_Data!$E$2:$E$101=$B$3)*(Orders_Data!$I$2:$I$101=2025)))</f>
        <v>699.57727272727266</v>
      </c>
      <c r="D8" s="54" cm="1">
        <f t="array" ref="D8">AVERAGE(_xlfn._xlws.FILTER(Orders_Data!$L$2:$L$101,(Orders_Data!$E$2:$E$101=$B$3)*(Orders_Data!$I$2:$I$101=2025)))</f>
        <v>9.5454545454545459E-2</v>
      </c>
    </row>
    <row r="10" spans="1:16" x14ac:dyDescent="0.3">
      <c r="A10" t="str">
        <f>B3&amp;" "&amp;B2&amp;" "&amp;"Average Discount "</f>
        <v xml:space="preserve">Accessories 2025 Average Discount </v>
      </c>
    </row>
    <row r="11" spans="1:16" x14ac:dyDescent="0.3">
      <c r="A11" t="str">
        <f>B3&amp;" " &amp; " " &amp;B2 &amp;" " &amp;"Revenue Comparison (2024 vs 2025) "</f>
        <v xml:space="preserve">Accessories  2025 Revenue Comparison (2024 vs 2025) </v>
      </c>
    </row>
    <row r="13" spans="1:16" ht="21" x14ac:dyDescent="0.4">
      <c r="A13" s="1" t="s">
        <v>3</v>
      </c>
      <c r="B13" s="11" t="s">
        <v>7</v>
      </c>
      <c r="C13" s="11" t="s">
        <v>10</v>
      </c>
      <c r="P13" s="57">
        <f>(C8-C7)/C7</f>
        <v>0.15814203036617164</v>
      </c>
    </row>
    <row r="14" spans="1:16" x14ac:dyDescent="0.3">
      <c r="A14" s="40" t="str">
        <f>$B$3</f>
        <v>Accessories</v>
      </c>
      <c r="B14">
        <f>B2</f>
        <v>2025</v>
      </c>
      <c r="C14" s="19" cm="1">
        <f t="array" ref="C14">AVERAGE(_xlfn._xlws.FILTER(Orders_Data!$L$2:$L$101,(Orders_Data!$E$2:$E$101=$B$3)*(Orders_Data!$I$2:$I$101=$B$2)*(Orders_Data!$E$2:$E$101=$B$3)))</f>
        <v>9.5454545454545459E-2</v>
      </c>
    </row>
    <row r="15" spans="1:16" x14ac:dyDescent="0.3">
      <c r="C15" s="19"/>
    </row>
    <row r="18" spans="1:13" x14ac:dyDescent="0.3">
      <c r="A18" s="1" t="s">
        <v>12</v>
      </c>
      <c r="B18" s="11" t="s">
        <v>189</v>
      </c>
      <c r="C18" s="11" t="s">
        <v>188</v>
      </c>
    </row>
    <row r="19" spans="1:13" ht="18" x14ac:dyDescent="0.35">
      <c r="A19" s="40" t="s">
        <v>62</v>
      </c>
      <c r="B19" s="20" cm="1">
        <f t="array" ref="B19">AVERAGE(_xlfn._xlws.FILTER(Orders_Data!$D$2:$Q$101,(Orders_Data!$I$2:$I$101=2024)*(Orders_Data!$P$2:$P$101=$A19)*(Orders_Data!$E$2:$E$101=$B$3)))</f>
        <v>380.45142857142861</v>
      </c>
      <c r="C19" s="20" cm="1">
        <f t="array" ref="C19">AVERAGE(_xlfn._xlws.FILTER(Orders_Data!$D$2:$Q$101,(Orders_Data!$I$2:$I$101=2025)*(Orders_Data!$P$2:$P$101=$A19)*(Orders_Data!$E$2:$E$101=$B$3)))</f>
        <v>366.48999999999995</v>
      </c>
      <c r="D19" s="20"/>
      <c r="M19" s="56"/>
    </row>
    <row r="20" spans="1:13" x14ac:dyDescent="0.3">
      <c r="A20" s="5" t="s">
        <v>66</v>
      </c>
      <c r="B20" s="20" cm="1">
        <f t="array" ref="B20">AVERAGE(_xlfn._xlws.FILTER(Orders_Data!$D$2:$Q$101,(Orders_Data!$I$2:$I$101=2024)*(Orders_Data!$P$2:$P$101=$A20)*(Orders_Data!$E$2:$E$101=$B$3)))</f>
        <v>363.28085714285709</v>
      </c>
      <c r="C20" s="20" cm="1">
        <f t="array" ref="C20">AVERAGE(_xlfn._xlws.FILTER(Orders_Data!$D$2:$Q$101,(Orders_Data!$I$2:$I$101=2025)*(Orders_Data!$P$2:$P$101=$A20)*(Orders_Data!$E$2:$E$101=$B$3)))</f>
        <v>426.7842857142856</v>
      </c>
      <c r="D20" s="20"/>
    </row>
    <row r="21" spans="1:13" x14ac:dyDescent="0.3">
      <c r="A21" s="5" t="s">
        <v>32</v>
      </c>
      <c r="B21" s="20" cm="1">
        <f t="array" ref="B21">AVERAGE(_xlfn._xlws.FILTER(Orders_Data!$D$2:$Q$101,(Orders_Data!$I$2:$I$101=2024)*(Orders_Data!$P$2:$P$101=$A21)*(Orders_Data!$E$2:$E$101=$B$3)))</f>
        <v>418.74171428571418</v>
      </c>
      <c r="C21" s="20" cm="1">
        <f t="array" ref="C21">AVERAGE(_xlfn._xlws.FILTER(Orders_Data!$D$2:$Q$101,(Orders_Data!$I$2:$I$101=2025)*(Orders_Data!$P$2:$P$101=$A21)*(Orders_Data!$E$2:$E$101=$B$3)))</f>
        <v>352.58428571428561</v>
      </c>
      <c r="D21" s="20"/>
    </row>
    <row r="22" spans="1:13" x14ac:dyDescent="0.3">
      <c r="A22" s="40" t="s">
        <v>20</v>
      </c>
      <c r="B22" s="20" cm="1">
        <f t="array" ref="B22">AVERAGE(_xlfn._xlws.FILTER(Orders_Data!$D$2:$Q$101,(Orders_Data!$I$2:$I$101=2024)*(Orders_Data!$P$2:$P$101=$A22)*(Orders_Data!$E$2:$E$101=$B$3)))</f>
        <v>388.16714285714289</v>
      </c>
      <c r="C22" s="20" cm="1">
        <f t="array" ref="C22">AVERAGE(_xlfn._xlws.FILTER(Orders_Data!$D$2:$Q$101,(Orders_Data!$I$2:$I$101=2025)*(Orders_Data!$P$2:$P$101=$A22)*(Orders_Data!$E$2:$E$101=$B$3)))</f>
        <v>448.48500000000001</v>
      </c>
      <c r="D22" s="20"/>
    </row>
    <row r="23" spans="1:13" x14ac:dyDescent="0.3">
      <c r="A23" s="2" t="s">
        <v>44</v>
      </c>
      <c r="B23" s="20" cm="1">
        <f t="array" ref="B23">AVERAGE(_xlfn._xlws.FILTER(Orders_Data!$D$2:$Q$101,(Orders_Data!$I$2:$I$101=2024)*(Orders_Data!$P$2:$P$101=$A23)*(Orders_Data!$E$2:$E$101=$B$3)))</f>
        <v>379.39485714285706</v>
      </c>
      <c r="C23" s="20" cm="1">
        <f t="array" ref="C23">AVERAGE(_xlfn._xlws.FILTER(Orders_Data!$D$2:$Q$101,(Orders_Data!$I$2:$I$101=2025)*(Orders_Data!$P$2:$P$101=$A23)*(Orders_Data!$E$2:$E$101=$B$3)))</f>
        <v>409.64190476190475</v>
      </c>
      <c r="D23" s="20"/>
    </row>
    <row r="26" spans="1:13" x14ac:dyDescent="0.3">
      <c r="A26" s="58" cm="1">
        <f t="array" ref="A26">SUM(_xlfn._xlws.FILTER(Orders_Data!$N$2:$N$101,(Orders_Data!$E$2:$E$101=$B$3)*(Orders_Data!$I$2:$I$101=$B$2)))</f>
        <v>7695.3499999999995</v>
      </c>
      <c r="B26" s="20"/>
    </row>
    <row r="27" spans="1:13" x14ac:dyDescent="0.3">
      <c r="A27" s="59" t="str">
        <f>UPPER(INDEX($A$19:$A$23, MATCH(MAX($B$19:$B$23), $B$19:$B$23, 0)))</f>
        <v>CANCELLED</v>
      </c>
      <c r="B27" s="60"/>
    </row>
    <row r="28" spans="1:13" x14ac:dyDescent="0.3">
      <c r="A28" s="61">
        <f>INDEX($B$19:$B$23, MATCH(MAX($B$19:$B$23), $B$19:$B$23, 0))</f>
        <v>418.74171428571418</v>
      </c>
      <c r="B28" s="59"/>
    </row>
    <row r="29" spans="1:13" x14ac:dyDescent="0.3">
      <c r="A29" s="62">
        <f>(C8-C7)/C7</f>
        <v>0.15814203036617164</v>
      </c>
      <c r="B29" s="59"/>
    </row>
    <row r="30" spans="1:13" x14ac:dyDescent="0.3">
      <c r="A30" s="55"/>
      <c r="B30" s="16"/>
    </row>
    <row r="31" spans="1:13" x14ac:dyDescent="0.3">
      <c r="A31" s="16"/>
      <c r="B31" s="16"/>
    </row>
    <row r="53" spans="28:28" x14ac:dyDescent="0.3">
      <c r="AB53" t="e" vm="1">
        <v>#VALUE!</v>
      </c>
    </row>
  </sheetData>
  <sortState xmlns:xlrd2="http://schemas.microsoft.com/office/spreadsheetml/2017/richdata2" ref="A19:C23">
    <sortCondition descending="1" ref="C19:C23"/>
  </sortState>
  <conditionalFormatting sqref="Y13">
    <cfRule type="iconSet" priority="4">
      <iconSet iconSet="3Arrows">
        <cfvo type="percent" val="0"/>
        <cfvo type="percent" val="33"/>
        <cfvo type="percent" val="67"/>
      </iconSet>
    </cfRule>
  </conditionalFormatting>
  <dataValidations disablePrompts="1" count="2">
    <dataValidation type="list" allowBlank="1" showInputMessage="1" showErrorMessage="1" sqref="E2 B3" xr:uid="{F6E43CB9-023C-4D46-A36D-D868306B5D00}">
      <formula1>$E$2:$E$4</formula1>
    </dataValidation>
    <dataValidation type="list" allowBlank="1" showInputMessage="1" showErrorMessage="1" sqref="B2" xr:uid="{AC788F47-EF2A-4637-81AB-0A65492CBFF6}">
      <formula1>$C$2:$C$3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E41EF73-D656-4A18-8D49-4AA2A3F23D0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P13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Z47"/>
  <sheetViews>
    <sheetView showGridLines="0" topLeftCell="J1" zoomScale="85" zoomScaleNormal="85" workbookViewId="0">
      <selection activeCell="K30" sqref="K30"/>
    </sheetView>
  </sheetViews>
  <sheetFormatPr defaultColWidth="8.21875" defaultRowHeight="14.4" x14ac:dyDescent="0.3"/>
  <cols>
    <col min="1" max="2" width="0" hidden="1" customWidth="1"/>
    <col min="3" max="3" width="16.33203125" hidden="1" customWidth="1"/>
    <col min="4" max="4" width="16.21875" hidden="1" customWidth="1"/>
    <col min="5" max="5" width="12.44140625" hidden="1" customWidth="1"/>
    <col min="6" max="6" width="12.21875" hidden="1" customWidth="1"/>
    <col min="7" max="7" width="15.5546875" hidden="1" customWidth="1"/>
    <col min="8" max="8" width="10" hidden="1" customWidth="1"/>
    <col min="9" max="9" width="10.88671875" hidden="1" customWidth="1"/>
    <col min="10" max="10" width="18" customWidth="1"/>
    <col min="11" max="11" width="19.6640625" customWidth="1"/>
    <col min="12" max="12" width="13.109375" customWidth="1"/>
    <col min="13" max="13" width="14.44140625" customWidth="1"/>
    <col min="14" max="14" width="13.6640625" customWidth="1"/>
    <col min="15" max="15" width="16.21875" customWidth="1"/>
    <col min="16" max="16" width="14.33203125" customWidth="1"/>
    <col min="17" max="17" width="14.6640625" customWidth="1"/>
  </cols>
  <sheetData>
    <row r="1" spans="1:26" s="39" customFormat="1" ht="21" customHeight="1" x14ac:dyDescent="0.3">
      <c r="A1" s="33" t="s">
        <v>176</v>
      </c>
      <c r="B1" s="33" t="s">
        <v>1</v>
      </c>
      <c r="C1" s="33" t="s">
        <v>2</v>
      </c>
      <c r="D1" s="33" t="s">
        <v>3</v>
      </c>
      <c r="E1" s="33" t="s">
        <v>8</v>
      </c>
      <c r="F1" s="33" t="s">
        <v>168</v>
      </c>
      <c r="G1" s="33" t="s">
        <v>169</v>
      </c>
      <c r="H1" s="33" t="s">
        <v>170</v>
      </c>
      <c r="I1" s="33" t="s">
        <v>9</v>
      </c>
      <c r="J1" s="34" t="s">
        <v>177</v>
      </c>
      <c r="K1" s="35" t="s">
        <v>35</v>
      </c>
      <c r="M1" s="36" t="s">
        <v>1</v>
      </c>
      <c r="N1" s="36" t="s">
        <v>2</v>
      </c>
      <c r="O1" s="36" t="s">
        <v>3</v>
      </c>
      <c r="P1" s="36" t="s">
        <v>168</v>
      </c>
      <c r="Q1" s="36" t="s">
        <v>9</v>
      </c>
    </row>
    <row r="2" spans="1:26" x14ac:dyDescent="0.3">
      <c r="A2" t="str">
        <f>LEFT(B2&amp;C2,4)</f>
        <v>P001</v>
      </c>
      <c r="B2" s="8" t="s">
        <v>39</v>
      </c>
      <c r="C2" s="8" t="s">
        <v>40</v>
      </c>
      <c r="D2" s="8" t="s">
        <v>41</v>
      </c>
      <c r="E2" s="9">
        <v>1299.99</v>
      </c>
      <c r="F2" s="8" t="s">
        <v>171</v>
      </c>
      <c r="G2" s="8">
        <v>7</v>
      </c>
      <c r="H2" s="8" t="s">
        <v>172</v>
      </c>
      <c r="I2" s="8">
        <f>VLOOKUP($A2,Orders_Data!$A$2:$Q$101,11,0)</f>
        <v>12</v>
      </c>
      <c r="L2" s="23"/>
      <c r="M2" s="17" t="str" cm="1">
        <f t="array" ref="M2:Q2">_xlfn.LET(
_xlpm.ProductName,C2:C11,
_xlpm.Stock,H2:H11,
_xlpm.ProductID,B2:B11,
_xlpm.Category,D2:D11,
_xlpm.Supplier,F2:F11,
_xlpm.Quantity,I2:I11,
_xlpm.Array,CHOOSE({1,2,3,4,5},_xlpm.ProductID,_xlpm.ProductName,_xlpm.Category,_xlpm.Supplier,_xlpm.Quantity),
_xlfn._xlws.FILTER(_xlpm.Array,(_xlpm.ProductName=K1)*(_xlpm.Stock="Yes"),"No Stock")
)</f>
        <v>P003</v>
      </c>
      <c r="N2" s="17" t="str">
        <v>USB-C Hub</v>
      </c>
      <c r="O2" s="17" t="str">
        <v>Accessories</v>
      </c>
      <c r="P2" s="17" t="str">
        <v>GadgetHub Polska</v>
      </c>
      <c r="Q2" s="17">
        <v>16</v>
      </c>
      <c r="T2" s="20"/>
      <c r="U2" s="19"/>
      <c r="V2" s="21">
        <f>Q2/20</f>
        <v>0.8</v>
      </c>
    </row>
    <row r="3" spans="1:26" x14ac:dyDescent="0.3">
      <c r="A3" t="str">
        <f t="shared" ref="A3:A11" si="0">LEFT(B3&amp;C3,4)</f>
        <v>P002</v>
      </c>
      <c r="B3" s="5" t="s">
        <v>22</v>
      </c>
      <c r="C3" s="5" t="s">
        <v>23</v>
      </c>
      <c r="D3" s="5" t="s">
        <v>24</v>
      </c>
      <c r="E3" s="6">
        <v>29.99</v>
      </c>
      <c r="F3" s="5" t="s">
        <v>173</v>
      </c>
      <c r="G3" s="5">
        <v>3</v>
      </c>
      <c r="H3" s="5" t="s">
        <v>172</v>
      </c>
      <c r="I3" s="8">
        <f>VLOOKUP($A3,Orders_Data!$A$2:$Q$101,11,0)</f>
        <v>20</v>
      </c>
      <c r="T3" s="20"/>
      <c r="U3" s="32"/>
    </row>
    <row r="4" spans="1:26" x14ac:dyDescent="0.3">
      <c r="A4" t="str">
        <f t="shared" si="0"/>
        <v>P003</v>
      </c>
      <c r="B4" s="8" t="s">
        <v>34</v>
      </c>
      <c r="C4" s="8" t="s">
        <v>35</v>
      </c>
      <c r="D4" s="8" t="s">
        <v>24</v>
      </c>
      <c r="E4" s="9">
        <v>49.99</v>
      </c>
      <c r="F4" s="8" t="s">
        <v>173</v>
      </c>
      <c r="G4" s="8">
        <v>3</v>
      </c>
      <c r="H4" s="8" t="s">
        <v>172</v>
      </c>
      <c r="I4" s="8">
        <f>VLOOKUP($A4,Orders_Data!$A$2:$Q$101,11,0)</f>
        <v>16</v>
      </c>
      <c r="T4" s="20"/>
      <c r="U4" s="19"/>
    </row>
    <row r="5" spans="1:26" x14ac:dyDescent="0.3">
      <c r="A5" t="str">
        <f t="shared" si="0"/>
        <v>P004</v>
      </c>
      <c r="B5" s="5" t="s">
        <v>49</v>
      </c>
      <c r="C5" s="5" t="s">
        <v>50</v>
      </c>
      <c r="D5" s="5" t="s">
        <v>41</v>
      </c>
      <c r="E5" s="6">
        <v>399.99</v>
      </c>
      <c r="F5" s="5" t="s">
        <v>171</v>
      </c>
      <c r="G5" s="5">
        <v>7</v>
      </c>
      <c r="H5" s="5" t="s">
        <v>172</v>
      </c>
      <c r="I5" s="8">
        <f>VLOOKUP($A5,Orders_Data!$A$2:$Q$101,11,0)</f>
        <v>17</v>
      </c>
      <c r="J5" s="17"/>
      <c r="P5" s="17"/>
      <c r="Q5" s="17"/>
      <c r="T5" s="20"/>
      <c r="U5" s="19"/>
    </row>
    <row r="6" spans="1:26" x14ac:dyDescent="0.3">
      <c r="A6" t="str">
        <f t="shared" si="0"/>
        <v>P005</v>
      </c>
      <c r="B6" s="8" t="s">
        <v>76</v>
      </c>
      <c r="C6" s="8" t="s">
        <v>77</v>
      </c>
      <c r="D6" s="8" t="s">
        <v>24</v>
      </c>
      <c r="E6" s="9">
        <v>89.99</v>
      </c>
      <c r="F6" s="8" t="s">
        <v>173</v>
      </c>
      <c r="G6" s="8">
        <v>3</v>
      </c>
      <c r="H6" s="8" t="s">
        <v>172</v>
      </c>
      <c r="I6" s="8">
        <f>VLOOKUP($A6,Orders_Data!$A$2:$Q$101,11,0)</f>
        <v>16</v>
      </c>
      <c r="O6" s="17"/>
      <c r="T6" s="23"/>
      <c r="U6" s="21"/>
      <c r="V6" s="21"/>
      <c r="W6" s="21"/>
    </row>
    <row r="7" spans="1:26" x14ac:dyDescent="0.3">
      <c r="A7" t="str">
        <f t="shared" si="0"/>
        <v>P006</v>
      </c>
      <c r="B7" s="5" t="s">
        <v>85</v>
      </c>
      <c r="C7" s="5" t="s">
        <v>86</v>
      </c>
      <c r="D7" s="5" t="s">
        <v>41</v>
      </c>
      <c r="E7" s="6">
        <v>79.989999999999995</v>
      </c>
      <c r="F7" s="5" t="s">
        <v>171</v>
      </c>
      <c r="G7" s="5">
        <v>7</v>
      </c>
      <c r="H7" s="5" t="s">
        <v>172</v>
      </c>
      <c r="I7" s="8">
        <f>VLOOKUP($A7,Orders_Data!$A$2:$Q$101,11,0)</f>
        <v>9</v>
      </c>
      <c r="T7" s="21" t="s">
        <v>179</v>
      </c>
      <c r="U7" s="23"/>
      <c r="V7" s="21">
        <f>Q2/20</f>
        <v>0.8</v>
      </c>
      <c r="W7" s="21">
        <v>1</v>
      </c>
    </row>
    <row r="8" spans="1:26" x14ac:dyDescent="0.3">
      <c r="A8" t="str">
        <f t="shared" si="0"/>
        <v>P007</v>
      </c>
      <c r="B8" s="8" t="s">
        <v>14</v>
      </c>
      <c r="C8" s="8" t="s">
        <v>15</v>
      </c>
      <c r="D8" s="8" t="s">
        <v>16</v>
      </c>
      <c r="E8" s="9">
        <v>249.99</v>
      </c>
      <c r="F8" s="8" t="s">
        <v>174</v>
      </c>
      <c r="G8" s="8">
        <v>14</v>
      </c>
      <c r="H8" s="8" t="s">
        <v>175</v>
      </c>
      <c r="I8" s="8">
        <f>VLOOKUP($A8,Orders_Data!$A$2:$Q$101,11,0)</f>
        <v>8</v>
      </c>
      <c r="T8" s="23"/>
      <c r="U8" s="23"/>
      <c r="V8" s="21"/>
      <c r="W8" s="21"/>
    </row>
    <row r="9" spans="1:26" ht="18.600000000000001" customHeight="1" x14ac:dyDescent="0.5">
      <c r="A9" t="str">
        <f t="shared" si="0"/>
        <v>P008</v>
      </c>
      <c r="B9" s="8" t="s">
        <v>46</v>
      </c>
      <c r="C9" s="28" t="s">
        <v>47</v>
      </c>
      <c r="D9" s="28" t="s">
        <v>16</v>
      </c>
      <c r="E9" s="29">
        <v>499.99</v>
      </c>
      <c r="F9" s="28" t="s">
        <v>174</v>
      </c>
      <c r="G9" s="28">
        <v>14</v>
      </c>
      <c r="H9" s="28" t="s">
        <v>172</v>
      </c>
      <c r="I9" s="8">
        <v>5</v>
      </c>
      <c r="L9" s="16"/>
      <c r="M9" s="25"/>
      <c r="N9" s="24" t="s">
        <v>185</v>
      </c>
      <c r="O9" s="27" t="str" cm="1">
        <f t="array" ref="O9">_xlfn.IFS(
$Q$2&gt;15,"Optimal",
$Q$2&gt;10,"Stable",
$Q$2&gt;5,"Low",
$Q$2&gt;1,"Critical",
$Q$2=0,"No Stock"
)</f>
        <v>Optimal</v>
      </c>
      <c r="Z9" s="38"/>
    </row>
    <row r="10" spans="1:26" x14ac:dyDescent="0.3">
      <c r="A10" t="str">
        <f t="shared" si="0"/>
        <v>P009</v>
      </c>
      <c r="B10" s="5" t="s">
        <v>59</v>
      </c>
      <c r="C10" s="30" t="s">
        <v>60</v>
      </c>
      <c r="D10" s="30" t="s">
        <v>41</v>
      </c>
      <c r="E10" s="31">
        <v>199.99</v>
      </c>
      <c r="F10" s="30" t="s">
        <v>171</v>
      </c>
      <c r="G10" s="30">
        <v>7</v>
      </c>
      <c r="H10" s="30" t="s">
        <v>172</v>
      </c>
      <c r="I10" s="8">
        <v>13</v>
      </c>
      <c r="N10" s="17"/>
    </row>
    <row r="11" spans="1:26" ht="25.8" x14ac:dyDescent="0.3">
      <c r="A11" t="str">
        <f t="shared" si="0"/>
        <v>P010</v>
      </c>
      <c r="B11" s="8" t="s">
        <v>82</v>
      </c>
      <c r="C11" s="28" t="s">
        <v>83</v>
      </c>
      <c r="D11" s="28" t="s">
        <v>16</v>
      </c>
      <c r="E11" s="29">
        <v>39.99</v>
      </c>
      <c r="F11" s="28" t="s">
        <v>174</v>
      </c>
      <c r="G11" s="28">
        <v>14</v>
      </c>
      <c r="H11" s="28" t="s">
        <v>175</v>
      </c>
      <c r="I11" s="8">
        <v>2</v>
      </c>
      <c r="K11" s="18"/>
      <c r="N11" s="24" t="s">
        <v>178</v>
      </c>
      <c r="O11" s="27" t="str">
        <f>Q2&amp;"/"&amp;20</f>
        <v>16/20</v>
      </c>
    </row>
    <row r="13" spans="1:26" x14ac:dyDescent="0.3">
      <c r="T13" s="37"/>
    </row>
    <row r="14" spans="1:26" x14ac:dyDescent="0.3">
      <c r="L14" s="23"/>
      <c r="M14" s="23"/>
      <c r="N14" s="23"/>
      <c r="O14" s="23"/>
    </row>
    <row r="15" spans="1:26" x14ac:dyDescent="0.3">
      <c r="L15" s="23"/>
      <c r="M15" s="23" t="s">
        <v>180</v>
      </c>
      <c r="N15" s="21">
        <f>IF(V7&gt;=75%,V7,NA())</f>
        <v>0.8</v>
      </c>
      <c r="O15" s="23"/>
    </row>
    <row r="16" spans="1:26" x14ac:dyDescent="0.3">
      <c r="L16" s="23"/>
      <c r="M16" s="23" t="s">
        <v>181</v>
      </c>
      <c r="N16" s="21" t="e">
        <f>IF(AND(V7&lt;=75%,V7&gt;50%),V7,NA())</f>
        <v>#N/A</v>
      </c>
      <c r="O16" s="23"/>
    </row>
    <row r="17" spans="11:15" x14ac:dyDescent="0.3">
      <c r="L17" s="23"/>
      <c r="M17" s="23" t="s">
        <v>182</v>
      </c>
      <c r="N17" s="21" t="e">
        <f>IF(AND(V7&lt;=50%,V7&gt;25%),V7,NA())</f>
        <v>#N/A</v>
      </c>
      <c r="O17" s="23"/>
    </row>
    <row r="18" spans="11:15" x14ac:dyDescent="0.3">
      <c r="L18" s="23"/>
      <c r="M18" s="23" t="s">
        <v>183</v>
      </c>
      <c r="N18" s="21" t="e">
        <f>IF(V7&lt;=25%,V7,NA())</f>
        <v>#N/A</v>
      </c>
      <c r="O18" s="23"/>
    </row>
    <row r="19" spans="11:15" x14ac:dyDescent="0.3">
      <c r="L19" s="23"/>
      <c r="M19" s="23" t="s">
        <v>184</v>
      </c>
      <c r="N19" s="21">
        <f>V6-V7</f>
        <v>-0.8</v>
      </c>
      <c r="O19" s="23"/>
    </row>
    <row r="20" spans="11:15" ht="23.4" x14ac:dyDescent="0.3">
      <c r="K20" s="26"/>
      <c r="L20" s="23"/>
      <c r="M20" s="23"/>
      <c r="N20" s="23"/>
      <c r="O20" s="23"/>
    </row>
    <row r="26" spans="11:15" ht="14.4" customHeight="1" x14ac:dyDescent="0.3"/>
    <row r="47" spans="14:14" x14ac:dyDescent="0.3">
      <c r="N47" s="22"/>
    </row>
  </sheetData>
  <conditionalFormatting sqref="U3">
    <cfRule type="expression" dxfId="0" priority="12">
      <formula>$U$3="Optimal"</formula>
    </cfRule>
  </conditionalFormatting>
  <dataValidations disablePrompts="1" count="2">
    <dataValidation type="list" allowBlank="1" showInputMessage="1" showErrorMessage="1" sqref="K5" xr:uid="{F0002DB4-A0A6-4AEF-99B0-FB0B7E6B7E18}">
      <formula1>$C$5:$C$8</formula1>
    </dataValidation>
    <dataValidation type="list" allowBlank="1" showInputMessage="1" showErrorMessage="1" sqref="K1" xr:uid="{76A1A464-3A3A-4E12-AB30-1A93F53E8DD9}">
      <formula1>$C$2:$C$11</formula1>
    </dataValidation>
  </dataValidations>
  <pageMargins left="0.75" right="0.75" top="1" bottom="1" header="0.5" footer="0.5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55A9F219F666E44A625CB7AE2FCED9A" ma:contentTypeVersion="5" ma:contentTypeDescription="Utwórz nowy dokument." ma:contentTypeScope="" ma:versionID="218e0005c8b00e82e1955465e1ed7c3c">
  <xsd:schema xmlns:xsd="http://www.w3.org/2001/XMLSchema" xmlns:xs="http://www.w3.org/2001/XMLSchema" xmlns:p="http://schemas.microsoft.com/office/2006/metadata/properties" xmlns:ns3="e325f262-414a-42f9-b303-a5aea90c4c77" targetNamespace="http://schemas.microsoft.com/office/2006/metadata/properties" ma:root="true" ma:fieldsID="c40b07dff35eca03563209cdd9dc770a" ns3:_="">
    <xsd:import namespace="e325f262-414a-42f9-b303-a5aea90c4c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5f262-414a-42f9-b303-a5aea90c4c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AE88D9-39A5-44A3-AABE-E34F115E0237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e325f262-414a-42f9-b303-a5aea90c4c77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72050D0-4C7A-4253-B148-CEAC25B2F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5f262-414a-42f9-b303-a5aea90c4c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155905-1952-4CBD-814A-7925CDA91E0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3bc24c5-73ad-421a-9408-3ea555be4a07}" enabled="0" method="" siteId="{53bc24c5-73ad-421a-9408-3ea555be4a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Orders_Data</vt:lpstr>
      <vt:lpstr>Performance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Abdulsamet 144973</cp:lastModifiedBy>
  <cp:lastPrinted>2026-04-02T22:53:12Z</cp:lastPrinted>
  <dcterms:created xsi:type="dcterms:W3CDTF">2026-03-24T23:45:08Z</dcterms:created>
  <dcterms:modified xsi:type="dcterms:W3CDTF">2026-04-03T12:15:56Z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0x010100D55A9F219F666E44A625CB7AE2FCED9A</vt:lpwstr>
  </property>
</Properties>
</file>